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Σύνοψη" sheetId="1" state="visible" r:id="rId3"/>
    <sheet name="Λογαριασμοί" sheetId="2" state="visible" r:id="rId4"/>
    <sheet name="Μηνύματα" sheetId="3" state="visible" r:id="rId5"/>
  </sheets>
  <definedNames>
    <definedName function="false" hidden="true" localSheetId="1" name="_xlnm._FilterDatabase" vbProcedure="false">Λογαριασμοί!$A$4:$P$203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<sst xmlns="http://schemas.openxmlformats.org/spreadsheetml/2006/main" count="1993" uniqueCount="837">
  <si>
    <t xml:space="preserve">Anbit – Σύνοψη καμπάνιας Instagram</t>
  </si>
  <si>
    <t xml:space="preserve">Λογαριασμοί που συγκεντρώθηκαν στις 08/10/2026. Οι αριθμοί ενημερώνονται μόνοι τους.</t>
  </si>
  <si>
    <t xml:space="preserve">Πόλη</t>
  </si>
  <si>
    <t xml:space="preserve">A</t>
  </si>
  <si>
    <t xml:space="preserve">B</t>
  </si>
  <si>
    <t xml:space="preserve">C</t>
  </si>
  <si>
    <t xml:space="preserve">Σύνολο</t>
  </si>
  <si>
    <t xml:space="preserve">Αθήνα</t>
  </si>
  <si>
    <t xml:space="preserve">Θεσσαλονίκη</t>
  </si>
  <si>
    <t xml:space="preserve">Κατάσταση</t>
  </si>
  <si>
    <t xml:space="preserve">Δεν στάλθηκε</t>
  </si>
  <si>
    <t xml:space="preserve">Στάλθηκε</t>
  </si>
  <si>
    <t xml:space="preserve">Follow-up στάλθηκε</t>
  </si>
  <si>
    <t xml:space="preserve">Ενδιαφέρεται</t>
  </si>
  <si>
    <t xml:space="preserve">Ραντεβού / Demo</t>
  </si>
  <si>
    <t xml:space="preserve">Συνεργάτης</t>
  </si>
  <si>
    <t xml:space="preserve">Δεν ενδιαφέρεται</t>
  </si>
  <si>
    <t xml:space="preserve">Δεν απάντησε</t>
  </si>
  <si>
    <t xml:space="preserve">Ποσοστό απάντησης</t>
  </si>
  <si>
    <t xml:space="preserve">απαντήσεις ÷ μηνύματα που στάλθηκαν</t>
  </si>
  <si>
    <t xml:space="preserve">Πώς βγήκε η λίστα &amp; πώς τη χρησιμοποιείς</t>
  </si>
  <si>
    <t xml:space="preserve">• Δημόσια επαγγελματικά προφίλ Instagram (καφέ, all-day, brunch, bars, μεζεδοπωλεία, ταβέρνες, street food) σε Αθήνα και Θεσσαλονίκη, μαζί με όσα στοιχεία γράφουν τα ίδια στο bio τους (διεύθυνση, ωράριο, τηλέφωνο).</t>
  </si>
  <si>
    <t xml:space="preserve">• Προτεραιότητα A: καφέ / all-day / brunch με τραπέζια και πελάτες που έρχονται συχνά, άρα το καλύτερο ταίριασμα για QR + πόντους. B: bars, ταβέρνες, μεζεδοπωλεία, εστιατόρια, street food. C: κυρίως take away, ζαχαροπλαστεία ή αλυσίδες/franchise.</t>
  </si>
  <si>
    <t xml:space="preserve">• Η στήλη «Προς επιβεβαίωση» σημειώνει όσα δεν έγραφαν καθαρά περιοχή ή είδος μαγαζιού. Ρίξε μια ματιά στο προφίλ πριν στείλεις.</t>
  </si>
  <si>
    <t xml:space="preserve">• Στείλε από τον επαγγελματικό λογαριασμό της Anbit. Τα μηνύματα σε λογαριασμούς που δεν σε ακολουθούν πάνε στα «Αιτήματα μηνυμάτων», οπότε ένα follow και ένα like πριν το μήνυμα βοηθάνε να το δουν.</t>
  </si>
  <si>
    <t xml:space="preserve">• Μην στέλνεις μαζικά: περίπου 20-30 νέα μηνύματα την ημέρα, με λίγο διαφορετικό κείμενο, για να μη σε περιορίσει το Instagram.</t>
  </si>
  <si>
    <t xml:space="preserve">• Γράψε την ημερομηνία στο «Ημ/νία 1ου μηνύματος» και το «Follow-up στις» βγαίνει μόνο του 4 μέρες μετά.</t>
  </si>
  <si>
    <t xml:space="preserve">Anbit – Λογαριασμοί Instagram για συνεργασία (Αθήνα &amp; Θεσσαλονίκη)</t>
  </si>
  <si>
    <t xml:space="preserve">Συμπληρώνεις μόνο τις κίτρινες στήλες: Κατάσταση, Ημ/νία 1ου μηνύματος, Σημειώσεις. Το «Στείλε DM» ανοίγει κατευθείαν συνομιλία στο Instagram. Το «Έτοιμο μήνυμα» βγαίνει από το φύλλο Μηνύματα.</t>
  </si>
  <si>
    <t xml:space="preserve">#</t>
  </si>
  <si>
    <t xml:space="preserve">Κατάστημα</t>
  </si>
  <si>
    <t xml:space="preserve">Instagram</t>
  </si>
  <si>
    <t xml:space="preserve">Προφίλ</t>
  </si>
  <si>
    <t xml:space="preserve">Στείλε DM</t>
  </si>
  <si>
    <t xml:space="preserve">Περιοχή / Διεύθυνση</t>
  </si>
  <si>
    <t xml:space="preserve">Κατηγορία</t>
  </si>
  <si>
    <t xml:space="preserve">Προτεραιότητα</t>
  </si>
  <si>
    <t xml:space="preserve">Στοιχεία από το bio</t>
  </si>
  <si>
    <t xml:space="preserve">Προς επιβεβαίωση</t>
  </si>
  <si>
    <t xml:space="preserve">Ημ/νία 1ου μηνύματος</t>
  </si>
  <si>
    <t xml:space="preserve">Follow-up στις</t>
  </si>
  <si>
    <t xml:space="preserve">Σημειώσεις</t>
  </si>
  <si>
    <t xml:space="preserve">Έτοιμο μήνυμα</t>
  </si>
  <si>
    <t xml:space="preserve">Adonis Premises / Alemania's</t>
  </si>
  <si>
    <t xml:space="preserve">@adonis_alemanias</t>
  </si>
  <si>
    <t xml:space="preserve">Άνοιγμα</t>
  </si>
  <si>
    <t xml:space="preserve">Μήνυμα</t>
  </si>
  <si>
    <t xml:space="preserve">Νέα Σμύρνη (25ης Μαρτίου 11)</t>
  </si>
  <si>
    <t xml:space="preserve">Κρέας &amp; Μπύρα / Cafe</t>
  </si>
  <si>
    <t xml:space="preserve">Aroma Cafe Bar</t>
  </si>
  <si>
    <t xml:space="preserve">@aroma.cafe.bar.gizi</t>
  </si>
  <si>
    <t xml:space="preserve">Γκύζη</t>
  </si>
  <si>
    <t xml:space="preserve">Cafe-Bar / Brunch</t>
  </si>
  <si>
    <t xml:space="preserve">Από το 1996</t>
  </si>
  <si>
    <t xml:space="preserve">Athénée</t>
  </si>
  <si>
    <t xml:space="preserve">@atheneeathens</t>
  </si>
  <si>
    <t xml:space="preserve">Κέντρο</t>
  </si>
  <si>
    <t xml:space="preserve">Cafe-Restaurant</t>
  </si>
  <si>
    <t xml:space="preserve">Ιστορικό, στον οδηγό Michelin</t>
  </si>
  <si>
    <t xml:space="preserve">BAR IDEAL</t>
  </si>
  <si>
    <t xml:space="preserve">@im.notinathens</t>
  </si>
  <si>
    <t xml:space="preserve">Coffee &amp; Spirits / Hi-Fi bar</t>
  </si>
  <si>
    <t xml:space="preserve">09:00-03:00</t>
  </si>
  <si>
    <t xml:space="preserve">Barista's Nea Smyrni</t>
  </si>
  <si>
    <t xml:space="preserve">@baristas_neasmirni</t>
  </si>
  <si>
    <t xml:space="preserve">Νέα Σμύρνη (Λ. Ελ. Βενιζέλου 140)</t>
  </si>
  <si>
    <t xml:space="preserve">Coffee</t>
  </si>
  <si>
    <t xml:space="preserve">Bistro Cafe</t>
  </si>
  <si>
    <t xml:space="preserve">@bistro_cafe_bar_restaurant</t>
  </si>
  <si>
    <t xml:space="preserve">Γαλάτσι</t>
  </si>
  <si>
    <t xml:space="preserve">All-day Cafe-Restaurant-Cocktail bar</t>
  </si>
  <si>
    <t xml:space="preserve">Black Duck Museum Bistro</t>
  </si>
  <si>
    <t xml:space="preserve">@black_duck_athens</t>
  </si>
  <si>
    <t xml:space="preserve">All-day Bistro / Brunch</t>
  </si>
  <si>
    <t xml:space="preserve">Κρατήσεις τραπεζιών</t>
  </si>
  <si>
    <t xml:space="preserve">Branch</t>
  </si>
  <si>
    <t xml:space="preserve">@branch.athens</t>
  </si>
  <si>
    <t xml:space="preserve">Πανόρμου</t>
  </si>
  <si>
    <t xml:space="preserve">All-day Cafe-Bar-Restaurant</t>
  </si>
  <si>
    <t xml:space="preserve">Brunch, lunch, dinner, cocktails</t>
  </si>
  <si>
    <t xml:space="preserve">Braziliana</t>
  </si>
  <si>
    <t xml:space="preserve">@brazilianabar</t>
  </si>
  <si>
    <t xml:space="preserve">Άνω Πετράλωνα (Αρκάδων 4)</t>
  </si>
  <si>
    <t xml:space="preserve">All-day Bar</t>
  </si>
  <si>
    <t xml:space="preserve">Bunkok</t>
  </si>
  <si>
    <t xml:space="preserve">@bunkok.glyfada</t>
  </si>
  <si>
    <t xml:space="preserve">Γλυφάδα</t>
  </si>
  <si>
    <t xml:space="preserve">Bakery-Brunch-Coffee</t>
  </si>
  <si>
    <t xml:space="preserve">07:00-20:00 καθημερινά</t>
  </si>
  <si>
    <t xml:space="preserve">Coco Cafe</t>
  </si>
  <si>
    <t xml:space="preserve">@cococafebeat</t>
  </si>
  <si>
    <t xml:space="preserve">Κυψέλη (Βελβενδού 46)</t>
  </si>
  <si>
    <t xml:space="preserve">Cafe / Κρέπες</t>
  </si>
  <si>
    <t xml:space="preserve">Coffee N Roses</t>
  </si>
  <si>
    <t xml:space="preserve">@coffeenroses_</t>
  </si>
  <si>
    <t xml:space="preserve">Π. Φάληρο (Παρθενώνος 43)</t>
  </si>
  <si>
    <t xml:space="preserve">Παραγγελίες 216 9008380</t>
  </si>
  <si>
    <t xml:space="preserve">Colonial Glyfada</t>
  </si>
  <si>
    <t xml:space="preserve">@colonialglyfada</t>
  </si>
  <si>
    <t xml:space="preserve">Γλυφάδα (Golf)</t>
  </si>
  <si>
    <t xml:space="preserve">All-day Cafe-Restaurant</t>
  </si>
  <si>
    <t xml:space="preserve">Από 08:00 καθημερινά</t>
  </si>
  <si>
    <t xml:space="preserve">El Sito Coffee Bar</t>
  </si>
  <si>
    <t xml:space="preserve">@el_sito_coffeebar</t>
  </si>
  <si>
    <t xml:space="preserve">Coffee Bar</t>
  </si>
  <si>
    <t xml:space="preserve">Επιβεβαίωσε περιοχή</t>
  </si>
  <si>
    <t xml:space="preserve">Espressaki Café Bistro</t>
  </si>
  <si>
    <t xml:space="preserve">@espressakicafebistro</t>
  </si>
  <si>
    <t xml:space="preserve">Cafe-Bistro / Cocktails</t>
  </si>
  <si>
    <t xml:space="preserve">Σπιτικά γλυκά</t>
  </si>
  <si>
    <t xml:space="preserve">Favela All Day Bar Restaurant</t>
  </si>
  <si>
    <t xml:space="preserve">@favela_all_day_bar_restaurant</t>
  </si>
  <si>
    <t xml:space="preserve">All-day Bar-Restaurant</t>
  </si>
  <si>
    <t xml:space="preserve">Flavour Business Resto Cafe</t>
  </si>
  <si>
    <t xml:space="preserve">@flavour.athens</t>
  </si>
  <si>
    <t xml:space="preserve">Resto Cafe</t>
  </si>
  <si>
    <t xml:space="preserve">07:00-02:00 καθημερινά</t>
  </si>
  <si>
    <t xml:space="preserve">G Cafe Bar</t>
  </si>
  <si>
    <t xml:space="preserve">@gcafebar</t>
  </si>
  <si>
    <t xml:space="preserve">Cafe-Bar</t>
  </si>
  <si>
    <t xml:space="preserve">Genesis Coffee Spot</t>
  </si>
  <si>
    <t xml:space="preserve">@genesis.athens</t>
  </si>
  <si>
    <t xml:space="preserve">Παγκράτι (Ευφράνορος)</t>
  </si>
  <si>
    <t xml:space="preserve">Νέο/μικρό προφίλ, efood &amp; Wolt</t>
  </si>
  <si>
    <t xml:space="preserve">HUUS Kaffe Fokionos</t>
  </si>
  <si>
    <t xml:space="preserve">@huus_fokionos</t>
  </si>
  <si>
    <t xml:space="preserve">Κυψέλη</t>
  </si>
  <si>
    <t xml:space="preserve">Specialty Coffee</t>
  </si>
  <si>
    <t xml:space="preserve">Specialty καφές &amp; χειροποίητα κρουασάν, έχει κι άλλα καταστήματα</t>
  </si>
  <si>
    <t xml:space="preserve">I Cafe Bar</t>
  </si>
  <si>
    <t xml:space="preserve">@icafebar</t>
  </si>
  <si>
    <t xml:space="preserve">Αργυρούπολη</t>
  </si>
  <si>
    <t xml:space="preserve">All-day Cafe-Bar</t>
  </si>
  <si>
    <t xml:space="preserve">JOJO espresso &amp; bar</t>
  </si>
  <si>
    <t xml:space="preserve">@jojoperisteri</t>
  </si>
  <si>
    <t xml:space="preserve">Μπουρνάζι (Αγ. Παρασκευής)</t>
  </si>
  <si>
    <t xml:space="preserve">Coffee &amp; Bar</t>
  </si>
  <si>
    <t xml:space="preserve">Kalimeres Bistro</t>
  </si>
  <si>
    <t xml:space="preserve">@kalimeres.bistro</t>
  </si>
  <si>
    <t xml:space="preserve">Bistro / Brunch</t>
  </si>
  <si>
    <t xml:space="preserve">Korne</t>
  </si>
  <si>
    <t xml:space="preserve">@korne.gr</t>
  </si>
  <si>
    <t xml:space="preserve">Νέα Ιωνία (Ελ. Βενιζέλου 128)</t>
  </si>
  <si>
    <t xml:space="preserve">Bakery-Cafe</t>
  </si>
  <si>
    <t xml:space="preserve">Τηλ. 211 4104918, νέο κατάστημα</t>
  </si>
  <si>
    <t xml:space="preserve">Kupato</t>
  </si>
  <si>
    <t xml:space="preserve">@kupato_official</t>
  </si>
  <si>
    <t xml:space="preserve">Μαρούσι (Αγ. Κωνσταντίνου 53)</t>
  </si>
  <si>
    <t xml:space="preserve">Specialty Coffee / Brunch</t>
  </si>
  <si>
    <t xml:space="preserve">Brunch by chef</t>
  </si>
  <si>
    <t xml:space="preserve">Level Up Specialty Coffee</t>
  </si>
  <si>
    <t xml:space="preserve">@level.up.marousi</t>
  </si>
  <si>
    <t xml:space="preserve">Μαρούσι</t>
  </si>
  <si>
    <t xml:space="preserve">07:30-20:00, efood &amp; Box</t>
  </si>
  <si>
    <t xml:space="preserve">LIBERTY Cafè Bar</t>
  </si>
  <si>
    <t xml:space="preserve">@liberty_cafebar</t>
  </si>
  <si>
    <t xml:space="preserve">Πειραιάς (Παλαιολόγου 5, Τερψιθέα)</t>
  </si>
  <si>
    <t xml:space="preserve">Cafe-Wine-Cocktail bar</t>
  </si>
  <si>
    <t xml:space="preserve">Local Cafe-Bar</t>
  </si>
  <si>
    <t xml:space="preserve">@local_cafebar</t>
  </si>
  <si>
    <t xml:space="preserve">Ίλιον</t>
  </si>
  <si>
    <t xml:space="preserve">Brunch 09:00-14:00</t>
  </si>
  <si>
    <t xml:space="preserve">Lola Cafe Bar</t>
  </si>
  <si>
    <t xml:space="preserve">@lolacafebar</t>
  </si>
  <si>
    <t xml:space="preserve">Αγία Παρασκευή</t>
  </si>
  <si>
    <t xml:space="preserve">Madeira Cafe &amp; Bar</t>
  </si>
  <si>
    <t xml:space="preserve">@madeiraathens</t>
  </si>
  <si>
    <t xml:space="preserve">Cafe-Cocktail bar</t>
  </si>
  <si>
    <t xml:space="preserve">Live events</t>
  </si>
  <si>
    <t xml:space="preserve">Medez Cafe &amp; Bar</t>
  </si>
  <si>
    <t xml:space="preserve">@medezcafe</t>
  </si>
  <si>
    <t xml:space="preserve">Παγκράτι</t>
  </si>
  <si>
    <t xml:space="preserve">Menta Cafe</t>
  </si>
  <si>
    <t xml:space="preserve">@menta_cafe_kifisia</t>
  </si>
  <si>
    <t xml:space="preserve">Κηφισιά</t>
  </si>
  <si>
    <t xml:space="preserve">Cafe-Brunch-Dinner</t>
  </si>
  <si>
    <t xml:space="preserve">Κήπος</t>
  </si>
  <si>
    <t xml:space="preserve">MOKKA</t>
  </si>
  <si>
    <t xml:space="preserve">@mokkacoffee.athens</t>
  </si>
  <si>
    <t xml:space="preserve">Morning Bar</t>
  </si>
  <si>
    <t xml:space="preserve">@morningbar.athens</t>
  </si>
  <si>
    <t xml:space="preserve">Breakfast / Coffee bar</t>
  </si>
  <si>
    <t xml:space="preserve">Καθημερινές 09:00-17:00</t>
  </si>
  <si>
    <t xml:space="preserve">Neratzia</t>
  </si>
  <si>
    <t xml:space="preserve">@neratzia.gr</t>
  </si>
  <si>
    <t xml:space="preserve">Κουκάκι</t>
  </si>
  <si>
    <t xml:space="preserve">Cafe-Bistro</t>
  </si>
  <si>
    <t xml:space="preserve">08:00-01:00 (Π-Σ ως 02:00)</t>
  </si>
  <si>
    <t xml:space="preserve">Num All Day Bar &amp; Restaurant</t>
  </si>
  <si>
    <t xml:space="preserve">@num_veaki</t>
  </si>
  <si>
    <t xml:space="preserve">Περιστέρι</t>
  </si>
  <si>
    <t xml:space="preserve">Τηλ. 697 967 1566</t>
  </si>
  <si>
    <t xml:space="preserve">Oubi</t>
  </si>
  <si>
    <t xml:space="preserve">@oubi.athens</t>
  </si>
  <si>
    <t xml:space="preserve">Χαλάνδρι</t>
  </si>
  <si>
    <t xml:space="preserve">All-day Cafe-Brunch-Cocktails</t>
  </si>
  <si>
    <t xml:space="preserve">Ήδη σε Wolt για delivery</t>
  </si>
  <si>
    <t xml:space="preserve">Pere Ubu Glyfada</t>
  </si>
  <si>
    <t xml:space="preserve">@pere_ubu_glyfada</t>
  </si>
  <si>
    <t xml:space="preserve">Pit All Day Gastro Bar</t>
  </si>
  <si>
    <t xml:space="preserve">@pit_kolonaki</t>
  </si>
  <si>
    <t xml:space="preserve">Κολωνάκι (Μηλιώνη 1)</t>
  </si>
  <si>
    <t xml:space="preserve">All-day Gastro Bar</t>
  </si>
  <si>
    <t xml:space="preserve">Κρατήσεις 210 3615969</t>
  </si>
  <si>
    <t xml:space="preserve">Péros</t>
  </si>
  <si>
    <t xml:space="preserve">@peros_kolonaki</t>
  </si>
  <si>
    <t xml:space="preserve">Κολωνάκι (Τσακάλωφ 2)</t>
  </si>
  <si>
    <t xml:space="preserve">Cafe-Bar-Restaurant</t>
  </si>
  <si>
    <t xml:space="preserve">Από το 1987</t>
  </si>
  <si>
    <t xml:space="preserve">Routina</t>
  </si>
  <si>
    <t xml:space="preserve">@routina_glyfada</t>
  </si>
  <si>
    <t xml:space="preserve">Γλυφάδα (Δούσμανη 8)</t>
  </si>
  <si>
    <t xml:space="preserve">Pastry / Brunch / Coffee</t>
  </si>
  <si>
    <t xml:space="preserve">Sinful Taste</t>
  </si>
  <si>
    <t xml:space="preserve">@sinfultastemarousi</t>
  </si>
  <si>
    <t xml:space="preserve">Μαρούσι (Αγ. Κωνσταντίνου 40)</t>
  </si>
  <si>
    <t xml:space="preserve">Cafe / Κρέπες / Burgers</t>
  </si>
  <si>
    <t xml:space="preserve">Τηλ. 210 6101368</t>
  </si>
  <si>
    <t xml:space="preserve">Treehouse Cafe</t>
  </si>
  <si>
    <t xml:space="preserve">@treehouse_cafe_peristeri</t>
  </si>
  <si>
    <t xml:space="preserve">Περιστέρι (Τζων Κέννεντυ &amp; Ειρήνης)</t>
  </si>
  <si>
    <t xml:space="preserve">08:00-02:00</t>
  </si>
  <si>
    <t xml:space="preserve">Usurum Brunch &amp; Cocktails</t>
  </si>
  <si>
    <t xml:space="preserve">@usurum_psyri</t>
  </si>
  <si>
    <t xml:space="preserve">Ψυρρή</t>
  </si>
  <si>
    <t xml:space="preserve">Brunch &amp; Cocktails</t>
  </si>
  <si>
    <t xml:space="preserve">Αυλή</t>
  </si>
  <si>
    <t xml:space="preserve">VS All Day Cafe Bar</t>
  </si>
  <si>
    <t xml:space="preserve">@vs_project_cafe</t>
  </si>
  <si>
    <t xml:space="preserve">Άγιος Δημήτριος (Αγ. Δημητρίου 216)</t>
  </si>
  <si>
    <t xml:space="preserve">White Bear</t>
  </si>
  <si>
    <t xml:space="preserve">@white_bear_cafebar</t>
  </si>
  <si>
    <t xml:space="preserve">Π. Φάληρο (Αχιλλέως 63)</t>
  </si>
  <si>
    <t xml:space="preserve">Τηλ. 211 0133516</t>
  </si>
  <si>
    <t xml:space="preserve">Άκρη Cafe</t>
  </si>
  <si>
    <t xml:space="preserve">@akricafekallithea_</t>
  </si>
  <si>
    <t xml:space="preserve">Καλλιθέα (Π. Τσαλδάρη 261)</t>
  </si>
  <si>
    <t xml:space="preserve">Cafe</t>
  </si>
  <si>
    <t xml:space="preserve">Μικρό/νέο προφίλ</t>
  </si>
  <si>
    <t xml:space="preserve">Αμαρυσία Coffee &amp; Snack</t>
  </si>
  <si>
    <t xml:space="preserve">@amarisia_coffeesnack</t>
  </si>
  <si>
    <t xml:space="preserve">Coffee &amp; Snack</t>
  </si>
  <si>
    <t xml:space="preserve">Καθημερινές 08:00-16:00, delivery</t>
  </si>
  <si>
    <t xml:space="preserve">Ανάκατα – Συνεργατικό Καφενείο</t>
  </si>
  <si>
    <t xml:space="preserve">@anakata_kafeneio_cooperativa</t>
  </si>
  <si>
    <t xml:space="preserve">Κάτω Πετράλωνα (Πανδώρου 85)</t>
  </si>
  <si>
    <t xml:space="preserve">Καφενείο</t>
  </si>
  <si>
    <t xml:space="preserve">Βαλίτσα</t>
  </si>
  <si>
    <t xml:space="preserve">@valitsa80</t>
  </si>
  <si>
    <t xml:space="preserve">Άνω Πετράλωνα (Δημοφώντος 80)</t>
  </si>
  <si>
    <t xml:space="preserve">Τηλ. 210 3470828</t>
  </si>
  <si>
    <t xml:space="preserve">Βαρνάβα Καφέ</t>
  </si>
  <si>
    <t xml:space="preserve">@varnavacafe</t>
  </si>
  <si>
    <t xml:space="preserve">Παγκράτι (Πλ. Βαρνάβα)</t>
  </si>
  <si>
    <t xml:space="preserve">Δέντρο All Day Bar</t>
  </si>
  <si>
    <t xml:space="preserve">@dentro_voula</t>
  </si>
  <si>
    <t xml:space="preserve">Βούλα</t>
  </si>
  <si>
    <t xml:space="preserve">Από το 2018</t>
  </si>
  <si>
    <t xml:space="preserve">ΕΔΕΜ</t>
  </si>
  <si>
    <t xml:space="preserve">@edem_cafe_restaurant</t>
  </si>
  <si>
    <t xml:space="preserve">Π. Φάληρο (παραλία)</t>
  </si>
  <si>
    <t xml:space="preserve">All-day Restaurant-Cafe</t>
  </si>
  <si>
    <t xml:space="preserve">Από το 1919</t>
  </si>
  <si>
    <t xml:space="preserve">Η Σκοπά – Καφενείο Μεζεδοπωλείο</t>
  </si>
  <si>
    <t xml:space="preserve">@h_skopa</t>
  </si>
  <si>
    <t xml:space="preserve">Κάτω Ηλιούπολη</t>
  </si>
  <si>
    <t xml:space="preserve">Καφενείο-Μεζεδοπωλείο</t>
  </si>
  <si>
    <t xml:space="preserve">Καφέ Χαρά</t>
  </si>
  <si>
    <t xml:space="preserve">@cafexara</t>
  </si>
  <si>
    <t xml:space="preserve">Π. Φάληρο (Αχιλλέως 21)</t>
  </si>
  <si>
    <t xml:space="preserve">Cafe-Food-Drinks</t>
  </si>
  <si>
    <t xml:space="preserve">Τηλ. 210 9803080</t>
  </si>
  <si>
    <t xml:space="preserve">Κρέμα Cafe</t>
  </si>
  <si>
    <t xml:space="preserve">@crema.cafe.gr</t>
  </si>
  <si>
    <t xml:space="preserve">Νέα Ιωνία</t>
  </si>
  <si>
    <t xml:space="preserve">Cafe / Κρουασάν</t>
  </si>
  <si>
    <t xml:space="preserve">Γαλλικά κρουασάν</t>
  </si>
  <si>
    <t xml:space="preserve">Λούης Καφενείο</t>
  </si>
  <si>
    <t xml:space="preserve">@louis.kafeneio</t>
  </si>
  <si>
    <t xml:space="preserve">Κεραμεικός (Λεωνίδου 87)</t>
  </si>
  <si>
    <t xml:space="preserve">Ο Λεμονόκηπος</t>
  </si>
  <si>
    <t xml:space="preserve">@lemonokipos_neafiladelfeia</t>
  </si>
  <si>
    <t xml:space="preserve">Νέα Φιλαδέλφεια (Αγ. Τριάδας 11)</t>
  </si>
  <si>
    <t xml:space="preserve">Εστιατόριο / Cafe</t>
  </si>
  <si>
    <t xml:space="preserve">Επιβεβαίωσε κατηγορία</t>
  </si>
  <si>
    <t xml:space="preserve">ΟΥΑΝ</t>
  </si>
  <si>
    <t xml:space="preserve">@ouan_pfaliro</t>
  </si>
  <si>
    <t xml:space="preserve">Π. Φάληρο</t>
  </si>
  <si>
    <t xml:space="preserve">Καφετέρια-Ποτάδικο</t>
  </si>
  <si>
    <t xml:space="preserve">09:00-01:00</t>
  </si>
  <si>
    <t xml:space="preserve">Παλιά Αγορά</t>
  </si>
  <si>
    <t xml:space="preserve">@paliaagora</t>
  </si>
  <si>
    <t xml:space="preserve">Φιλοθέη</t>
  </si>
  <si>
    <t xml:space="preserve">All-day Coffee-Food-Wine-Cocktails</t>
  </si>
  <si>
    <t xml:space="preserve">Παραμύθι με καφέ</t>
  </si>
  <si>
    <t xml:space="preserve">@paramythimecafe</t>
  </si>
  <si>
    <t xml:space="preserve">Νέα Σμύρνη (πλατεία)</t>
  </si>
  <si>
    <t xml:space="preserve">Από το 1997</t>
  </si>
  <si>
    <t xml:space="preserve">Το Μπαρ</t>
  </si>
  <si>
    <t xml:space="preserve">@to.bar.athens</t>
  </si>
  <si>
    <t xml:space="preserve">Κ-Π 09:00-01:00, Π-Σ ως 02:00</t>
  </si>
  <si>
    <t xml:space="preserve">Φλάρος</t>
  </si>
  <si>
    <t xml:space="preserve">@flaros.ath</t>
  </si>
  <si>
    <t xml:space="preserve">Κρατήσεις 210 4403818</t>
  </si>
  <si>
    <t xml:space="preserve">AMANTE Restaurant &amp; Cocktail Bar</t>
  </si>
  <si>
    <t xml:space="preserve">@amante.athens</t>
  </si>
  <si>
    <t xml:space="preserve">Restaurant-Cocktail bar</t>
  </si>
  <si>
    <t xml:space="preserve">Big Bar</t>
  </si>
  <si>
    <t xml:space="preserve">@big_bar_athens</t>
  </si>
  <si>
    <t xml:space="preserve">Γκάζι</t>
  </si>
  <si>
    <t xml:space="preserve">Bar</t>
  </si>
  <si>
    <t xml:space="preserve">Από το 2004</t>
  </si>
  <si>
    <t xml:space="preserve">Forte Charitos</t>
  </si>
  <si>
    <t xml:space="preserve">@forte.kolonaki</t>
  </si>
  <si>
    <t xml:space="preserve">Κολωνάκι</t>
  </si>
  <si>
    <t xml:space="preserve">Εστιατόριο</t>
  </si>
  <si>
    <t xml:space="preserve">Τηλ. 210 7227771</t>
  </si>
  <si>
    <t xml:space="preserve">Gazi View</t>
  </si>
  <si>
    <t xml:space="preserve">@gazi_view</t>
  </si>
  <si>
    <t xml:space="preserve">Rooftop Bar</t>
  </si>
  <si>
    <t xml:space="preserve">Τετ-Κυρ από 18:00</t>
  </si>
  <si>
    <t xml:space="preserve">Glasshouse</t>
  </si>
  <si>
    <t xml:space="preserve">@glasshouse.marousi</t>
  </si>
  <si>
    <t xml:space="preserve">Beer &amp; Cocktail bar</t>
  </si>
  <si>
    <t xml:space="preserve">Hanky Panky</t>
  </si>
  <si>
    <t xml:space="preserve">@hankypankyath</t>
  </si>
  <si>
    <t xml:space="preserve">Πετράλωνα (Δινοχάρους 1) + Π. Φάληρο</t>
  </si>
  <si>
    <t xml:space="preserve">Street food</t>
  </si>
  <si>
    <t xml:space="preserve">Ως 02:00</t>
  </si>
  <si>
    <t xml:space="preserve">Naval Mikrolimano</t>
  </si>
  <si>
    <t xml:space="preserve">@naval.mikrolimano</t>
  </si>
  <si>
    <t xml:space="preserve">Πειραιάς – Μικρολίμανο</t>
  </si>
  <si>
    <t xml:space="preserve">Gastrobar</t>
  </si>
  <si>
    <t xml:space="preserve">Nonnas Athens</t>
  </si>
  <si>
    <t xml:space="preserve">@nonnas.athens</t>
  </si>
  <si>
    <t xml:space="preserve">oLa Ελληνικά</t>
  </si>
  <si>
    <t xml:space="preserve">@ola_ellinika_gazi</t>
  </si>
  <si>
    <t xml:space="preserve">Κεραμεικός</t>
  </si>
  <si>
    <t xml:space="preserve">Μουσική σκηνή / Bar</t>
  </si>
  <si>
    <t xml:space="preserve">Live ελληνική μουσική</t>
  </si>
  <si>
    <t xml:space="preserve">Street Souvlaki</t>
  </si>
  <si>
    <t xml:space="preserve">@street_souvlaki</t>
  </si>
  <si>
    <t xml:space="preserve">Κέντρο (Κολοκοτρώνη 30) + 2 στον Πειραιά</t>
  </si>
  <si>
    <t xml:space="preserve">Σουβλατζίδικο</t>
  </si>
  <si>
    <t xml:space="preserve">3 καταστήματα</t>
  </si>
  <si>
    <t xml:space="preserve">Γήτεμα</t>
  </si>
  <si>
    <t xml:space="preserve">@gitema_neasmirni</t>
  </si>
  <si>
    <t xml:space="preserve">Νέα Σμύρνη</t>
  </si>
  <si>
    <t xml:space="preserve">Εστίαση</t>
  </si>
  <si>
    <t xml:space="preserve">Εν Αιθρία</t>
  </si>
  <si>
    <t xml:space="preserve">@en_aithria_filadelfeia</t>
  </si>
  <si>
    <t xml:space="preserve">Νέα Φιλαδέλφεια</t>
  </si>
  <si>
    <t xml:space="preserve">Μπυραρία / Μεζέδες</t>
  </si>
  <si>
    <t xml:space="preserve">Κρατήσεις 210 2582751</t>
  </si>
  <si>
    <t xml:space="preserve">Η Πόλη</t>
  </si>
  <si>
    <t xml:space="preserve">@h_polh</t>
  </si>
  <si>
    <t xml:space="preserve">Νέα Φιλαδέλφεια (Λ. Δεκελείας 130)</t>
  </si>
  <si>
    <t xml:space="preserve">Εστιατόριο πολίτικης κουζίνας</t>
  </si>
  <si>
    <t xml:space="preserve">Τηλ. 210 2521000</t>
  </si>
  <si>
    <t xml:space="preserve">Καπάνι Μάρκετ</t>
  </si>
  <si>
    <t xml:space="preserve">@kapani.athens</t>
  </si>
  <si>
    <t xml:space="preserve">Μεταξουργείο (Χίου 29)</t>
  </si>
  <si>
    <t xml:space="preserve">Μαγειρείο / Natural wine / Deli</t>
  </si>
  <si>
    <t xml:space="preserve">Κρατήσεις μέσω link</t>
  </si>
  <si>
    <t xml:space="preserve">Καρδερίνα</t>
  </si>
  <si>
    <t xml:space="preserve">@karderina_petralona</t>
  </si>
  <si>
    <t xml:space="preserve">Πετράλωνα</t>
  </si>
  <si>
    <t xml:space="preserve">Παραδοσιακή κουζίνα</t>
  </si>
  <si>
    <t xml:space="preserve">Κουτουρού Μεζετζίδικον</t>
  </si>
  <si>
    <t xml:space="preserve">@koutourou_mezetzidikon</t>
  </si>
  <si>
    <t xml:space="preserve">Τσιπουράδικο</t>
  </si>
  <si>
    <t xml:space="preserve">Τηλ. 216 2023108</t>
  </si>
  <si>
    <t xml:space="preserve">Μέλισσες</t>
  </si>
  <si>
    <t xml:space="preserve">@melisses_mezedopoleio</t>
  </si>
  <si>
    <t xml:space="preserve">Μεζεδοπωλείο-Ρακάδικο</t>
  </si>
  <si>
    <t xml:space="preserve">Live κάθε Παρασκευή, τηλ. 210 2520566</t>
  </si>
  <si>
    <t xml:space="preserve">Μικρασιάτικο Μεζεδοπωλείο</t>
  </si>
  <si>
    <t xml:space="preserve">@mikrasiatiko_mezedopoleio</t>
  </si>
  <si>
    <t xml:space="preserve">Νέα Φιλαδέλφεια (Προύσης 12)</t>
  </si>
  <si>
    <t xml:space="preserve">Μεζεδοπωλείο</t>
  </si>
  <si>
    <t xml:space="preserve">Τηλ. 210 2510007</t>
  </si>
  <si>
    <t xml:space="preserve">Μπαρ-Μπεε-Κιου</t>
  </si>
  <si>
    <t xml:space="preserve">@mpar_mpee_kiou</t>
  </si>
  <si>
    <t xml:space="preserve">Πειραιάς – Πασαλιμάνι (Αγγ. Μεταξά 7)</t>
  </si>
  <si>
    <t xml:space="preserve">Burger bar</t>
  </si>
  <si>
    <t xml:space="preserve">+ Ν. Φιλαδέλφεια, Ν. Σμύρνη, Χαλάνδρι</t>
  </si>
  <si>
    <t xml:space="preserve">Μπαϊρακτάρης</t>
  </si>
  <si>
    <t xml:space="preserve">@bairaktarismonastiraki</t>
  </si>
  <si>
    <t xml:space="preserve">Μοναστηράκι</t>
  </si>
  <si>
    <t xml:space="preserve">Ταβέρνα</t>
  </si>
  <si>
    <t xml:space="preserve">Από το 1879, πολλοί τουρίστες (μενού GR/EN)</t>
  </si>
  <si>
    <t xml:space="preserve">Μπρούλης</t>
  </si>
  <si>
    <t xml:space="preserve">@mproulis_metaxourgeio</t>
  </si>
  <si>
    <t xml:space="preserve">Μεταξουργείο</t>
  </si>
  <si>
    <t xml:space="preserve">Εστιατόριο / Μεζέδες</t>
  </si>
  <si>
    <t xml:space="preserve">Μυροβόλος</t>
  </si>
  <si>
    <t xml:space="preserve">@myrovolos_metaxourgeio</t>
  </si>
  <si>
    <t xml:space="preserve">Μεταξουργείο (Γιατράκου 12)</t>
  </si>
  <si>
    <t xml:space="preserve">Ντεμέκ</t>
  </si>
  <si>
    <t xml:space="preserve">@ntemek</t>
  </si>
  <si>
    <t xml:space="preserve">Νέα Φιλαδέλφεια (Ν. Τρυπιά 1-3)</t>
  </si>
  <si>
    <t xml:space="preserve">Φαγοποτείο</t>
  </si>
  <si>
    <t xml:space="preserve">Ο Άλλος μπαρ</t>
  </si>
  <si>
    <t xml:space="preserve">@o_allos_bar</t>
  </si>
  <si>
    <t xml:space="preserve">Παγκράτι (Τιμοθέου 1)</t>
  </si>
  <si>
    <t xml:space="preserve">Ο Ένοικος Bar</t>
  </si>
  <si>
    <t xml:space="preserve">@enoikosbar</t>
  </si>
  <si>
    <t xml:space="preserve">Εξάρχεια (Καλλιδρομίου 70)</t>
  </si>
  <si>
    <t xml:space="preserve">Ιστορικό στέκι από τη δεκαετία του '90</t>
  </si>
  <si>
    <t xml:space="preserve">Ουζερί Η Άποψις</t>
  </si>
  <si>
    <t xml:space="preserve">@ouzeriapopsis</t>
  </si>
  <si>
    <t xml:space="preserve">Ουζερί</t>
  </si>
  <si>
    <t xml:space="preserve">Θαλασσινοί μεζέδες</t>
  </si>
  <si>
    <t xml:space="preserve">Πάμε Τσίπουρο Φωκίωνος</t>
  </si>
  <si>
    <t xml:space="preserve">@pametsipouro_fokionos_official</t>
  </si>
  <si>
    <t xml:space="preserve">Κυψέλη (Φωκίωνος Νέγρη 50)</t>
  </si>
  <si>
    <t xml:space="preserve">Τσιπουράδικο / Μεζέδες</t>
  </si>
  <si>
    <t xml:space="preserve">Από 09:00, live βραδιές</t>
  </si>
  <si>
    <t xml:space="preserve">Σουβλατζίδικο Γυροβολιές</t>
  </si>
  <si>
    <t xml:space="preserve">@gyrovoliesofficial</t>
  </si>
  <si>
    <t xml:space="preserve">Πλ. Κολωνού (Επιδαύρου 40)</t>
  </si>
  <si>
    <t xml:space="preserve">Τηλ. 210 5142594</t>
  </si>
  <si>
    <t xml:space="preserve">Στις 5 γύρες</t>
  </si>
  <si>
    <t xml:space="preserve">@stis5gires.gr</t>
  </si>
  <si>
    <t xml:space="preserve">Αγία Παρασκευή (Κοραή 5)</t>
  </si>
  <si>
    <t xml:space="preserve">Τηλ. 210 6522299</t>
  </si>
  <si>
    <t xml:space="preserve">Ταβέρνα Θέα</t>
  </si>
  <si>
    <t xml:space="preserve">@taverna_thea20</t>
  </si>
  <si>
    <t xml:space="preserve">Αχαρνές (Τατοΐου)</t>
  </si>
  <si>
    <t xml:space="preserve">Εξοχική Ταβέρνα</t>
  </si>
  <si>
    <t xml:space="preserve">Ταβέρνα Οικονόμου 1930</t>
  </si>
  <si>
    <t xml:space="preserve">@taverna.oikonomou</t>
  </si>
  <si>
    <t xml:space="preserve">Από το 1930</t>
  </si>
  <si>
    <t xml:space="preserve">Τεμπεσίρι</t>
  </si>
  <si>
    <t xml:space="preserve">@tempesiri.mezedopwleio</t>
  </si>
  <si>
    <t xml:space="preserve">Τηλ. 213 0291234</t>
  </si>
  <si>
    <t xml:space="preserve">Το Μικιό</t>
  </si>
  <si>
    <t xml:space="preserve">@tomikiopfaliro</t>
  </si>
  <si>
    <t xml:space="preserve">Π. Φάληρο (Αγ. Αλεξάνδρου 58)</t>
  </si>
  <si>
    <t xml:space="preserve">Κρητικό Μεζεδοπωλείο</t>
  </si>
  <si>
    <t xml:space="preserve">Το σουβλάκι της Σαρρή</t>
  </si>
  <si>
    <t xml:space="preserve">@tosouvlakitissarri</t>
  </si>
  <si>
    <t xml:space="preserve">Ψυρρή (Σαρρή 36)</t>
  </si>
  <si>
    <t xml:space="preserve">12:00-01:00, τηλ. 210 3315439</t>
  </si>
  <si>
    <t xml:space="preserve">Barato Espresso Bar</t>
  </si>
  <si>
    <t xml:space="preserve">@baratokallithea</t>
  </si>
  <si>
    <t xml:space="preserve">Καλλιθέα (Χαροκόπου 62)</t>
  </si>
  <si>
    <t xml:space="preserve">Coffee (take away)</t>
  </si>
  <si>
    <t xml:space="preserve">~8.8K followers, delivery/take away</t>
  </si>
  <si>
    <t xml:space="preserve">Blysscafe</t>
  </si>
  <si>
    <t xml:space="preserve">@blysscafe_kallithea</t>
  </si>
  <si>
    <t xml:space="preserve">Καλλιθέα</t>
  </si>
  <si>
    <t xml:space="preserve">~2.5K followers, αλυσίδα / franchise</t>
  </si>
  <si>
    <t xml:space="preserve">Bourbon Specialty Coffees</t>
  </si>
  <si>
    <t xml:space="preserve">@bourbonspecialtycoffees</t>
  </si>
  <si>
    <t xml:space="preserve">Παγκράτι, Αλεξάνδρας, Ζωγράφου, Ηλιούπολη, Αμπελόκηποι</t>
  </si>
  <si>
    <t xml:space="preserve">Πολλά καταστήματα (τοπική αλυσίδα)</t>
  </si>
  <si>
    <t xml:space="preserve">Cultivos Coffee</t>
  </si>
  <si>
    <t xml:space="preserve">@cultivosneasmyrni</t>
  </si>
  <si>
    <t xml:space="preserve">07:00-21:00, αλυσίδα / franchise</t>
  </si>
  <si>
    <t xml:space="preserve">Cultivos Coffee Kallithea</t>
  </si>
  <si>
    <t xml:space="preserve">@cultivoscoffeekallithea</t>
  </si>
  <si>
    <t xml:space="preserve">Delivery apps, αλυσίδα / franchise</t>
  </si>
  <si>
    <t xml:space="preserve">IL TOTO Μεταξουργείο</t>
  </si>
  <si>
    <t xml:space="preserve">@il_toto_metaxourgeio</t>
  </si>
  <si>
    <t xml:space="preserve">05:00-21:00, αλυσίδα IL Toto</t>
  </si>
  <si>
    <t xml:space="preserve">IL TOTO Περιστέρι</t>
  </si>
  <si>
    <t xml:space="preserve">@il_toto_tzon_kennenty105</t>
  </si>
  <si>
    <t xml:space="preserve">Περιστέρι (Τζων Κέννεντυ 105)</t>
  </si>
  <si>
    <t xml:space="preserve">Αλυσίδα IL Toto (πολλά καταστήματα)</t>
  </si>
  <si>
    <t xml:space="preserve">KAPU</t>
  </si>
  <si>
    <t xml:space="preserve">@kapu.kypseli</t>
  </si>
  <si>
    <t xml:space="preserve">07:00-21:00, take away &amp; delivery</t>
  </si>
  <si>
    <t xml:space="preserve">Overdose Coffee &amp; More</t>
  </si>
  <si>
    <t xml:space="preserve">@overdose_coffee_and_more</t>
  </si>
  <si>
    <t xml:space="preserve">Περιστέρι (Ανδριτσαίνης)</t>
  </si>
  <si>
    <t xml:space="preserve">Take away &amp; delivery</t>
  </si>
  <si>
    <t xml:space="preserve">9 Market Cafe</t>
  </si>
  <si>
    <t xml:space="preserve">@9_marketcafe</t>
  </si>
  <si>
    <t xml:space="preserve">Βαλαωρίτου 12 (+Σβώλου, Βασ. Ηρακλείου)</t>
  </si>
  <si>
    <t xml:space="preserve">ALANA Coffee Bar</t>
  </si>
  <si>
    <t xml:space="preserve">@alanacoffeebar</t>
  </si>
  <si>
    <t xml:space="preserve">Τούμπα (Κλεάνθους 72)</t>
  </si>
  <si>
    <t xml:space="preserve">Τηλ. 2310 949478</t>
  </si>
  <si>
    <t xml:space="preserve">Allegro Bar</t>
  </si>
  <si>
    <t xml:space="preserve">@allegro_bar_restaurant</t>
  </si>
  <si>
    <t xml:space="preserve">Bar-Restaurant / Brunch</t>
  </si>
  <si>
    <t xml:space="preserve">Spirits, brunch &amp; casual menu</t>
  </si>
  <si>
    <t xml:space="preserve">Anatolikon Gastrobar</t>
  </si>
  <si>
    <t xml:space="preserve">@anatolikon.gastrobar</t>
  </si>
  <si>
    <t xml:space="preserve">Καλαμαριά</t>
  </si>
  <si>
    <t xml:space="preserve">All-day Gastrobar</t>
  </si>
  <si>
    <t xml:space="preserve">Κρατήσεις 2310 419654</t>
  </si>
  <si>
    <t xml:space="preserve">Blé Taste Gallery</t>
  </si>
  <si>
    <t xml:space="preserve">@bletastegallery</t>
  </si>
  <si>
    <t xml:space="preserve">Bakery / Pastry / Roastery</t>
  </si>
  <si>
    <t xml:space="preserve">Τοπικό brand με λίγα καταστήματα</t>
  </si>
  <si>
    <t xml:space="preserve">Boston Cafe</t>
  </si>
  <si>
    <t xml:space="preserve">@bostonskg</t>
  </si>
  <si>
    <t xml:space="preserve">Βοσπόρου 2</t>
  </si>
  <si>
    <t xml:space="preserve">Cafe / Brunch / Cocktails</t>
  </si>
  <si>
    <t xml:space="preserve">Bowie House</t>
  </si>
  <si>
    <t xml:space="preserve">@bowie_house.skg</t>
  </si>
  <si>
    <t xml:space="preserve">Ανοιχτό από 11:00</t>
  </si>
  <si>
    <t xml:space="preserve">Brew ΛόΚΑΛ</t>
  </si>
  <si>
    <t xml:space="preserve">@brew_local</t>
  </si>
  <si>
    <t xml:space="preserve">Άνω Τούμπα</t>
  </si>
  <si>
    <t xml:space="preserve">Coffee &amp; Cocktail bar</t>
  </si>
  <si>
    <t xml:space="preserve">Γειτονιάς, spritz &amp; cocktails</t>
  </si>
  <si>
    <t xml:space="preserve">Brunchsin'</t>
  </si>
  <si>
    <t xml:space="preserve">@brunchsin</t>
  </si>
  <si>
    <t xml:space="preserve">Brunch / Cafe</t>
  </si>
  <si>
    <t xml:space="preserve">All-day brunch, specialty coffee, μιμόζες</t>
  </si>
  <si>
    <t xml:space="preserve">Cafe Floral</t>
  </si>
  <si>
    <t xml:space="preserve">@floral.cafe</t>
  </si>
  <si>
    <t xml:space="preserve">26ης Οκτωβρίου 8</t>
  </si>
  <si>
    <t xml:space="preserve">Cafe (ανθοπωλείο-καφέ)</t>
  </si>
  <si>
    <t xml:space="preserve">Ανθοπωλείο-καφέ</t>
  </si>
  <si>
    <t xml:space="preserve">Cafe-Bazaar</t>
  </si>
  <si>
    <t xml:space="preserve">@cafe.bazaar.thessaloniki</t>
  </si>
  <si>
    <t xml:space="preserve">~680 followers</t>
  </si>
  <si>
    <t xml:space="preserve">Café Société</t>
  </si>
  <si>
    <t xml:space="preserve">@cafesociete_</t>
  </si>
  <si>
    <t xml:space="preserve">All-day Cafe-Wine-Bar</t>
  </si>
  <si>
    <t xml:space="preserve">Από το 2008, καθημερινά από 08:30</t>
  </si>
  <si>
    <t xml:space="preserve">Coffice – Books &amp; Coffee</t>
  </si>
  <si>
    <t xml:space="preserve">@cofficethessaloniki</t>
  </si>
  <si>
    <t xml:space="preserve">Cafe / Coworking</t>
  </si>
  <si>
    <t xml:space="preserve">Καφές, βιβλία, χώρος εργασίας</t>
  </si>
  <si>
    <t xml:space="preserve">Cube Coffee &amp; More</t>
  </si>
  <si>
    <t xml:space="preserve">@cube_coffee_and_more</t>
  </si>
  <si>
    <t xml:space="preserve">Ροτόντα 5 (+Β. Όλγας, Π. Συνδίκα, Λ. Στρατού)</t>
  </si>
  <si>
    <t xml:space="preserve">4 καταστήματα</t>
  </si>
  <si>
    <t xml:space="preserve">Fluffy Brunch</t>
  </si>
  <si>
    <t xml:space="preserve">@fluffybrunch</t>
  </si>
  <si>
    <t xml:space="preserve">Πλ. Ναβαρίνου 10</t>
  </si>
  <si>
    <t xml:space="preserve">Brunch / Pancakes</t>
  </si>
  <si>
    <t xml:space="preserve">Garden Bar 53</t>
  </si>
  <si>
    <t xml:space="preserve">@garden_bar_53</t>
  </si>
  <si>
    <t xml:space="preserve">Κάτω Τούμπα</t>
  </si>
  <si>
    <t xml:space="preserve">Kitchen Bar</t>
  </si>
  <si>
    <t xml:space="preserve">@kitchenbar_thessaloniki</t>
  </si>
  <si>
    <t xml:space="preserve">Λιμάνι</t>
  </si>
  <si>
    <t xml:space="preserve">L'Autre Cafe</t>
  </si>
  <si>
    <t xml:space="preserve">@lautre_cafe</t>
  </si>
  <si>
    <t xml:space="preserve">City centre cafe</t>
  </si>
  <si>
    <t xml:space="preserve">LeCoqTail Mix Bar</t>
  </si>
  <si>
    <t xml:space="preserve">@lecoqtailmixbar</t>
  </si>
  <si>
    <t xml:space="preserve">Cafe &amp; Cocktail bar</t>
  </si>
  <si>
    <t xml:space="preserve">Βραβευμένο, πανοραμική θέα</t>
  </si>
  <si>
    <t xml:space="preserve">Local Thessaloniki</t>
  </si>
  <si>
    <t xml:space="preserve">@localthessaloniki</t>
  </si>
  <si>
    <t xml:space="preserve">Coffee, wine, cocktails</t>
  </si>
  <si>
    <t xml:space="preserve">Lungo Coffee &amp; Gluten Free Pastries</t>
  </si>
  <si>
    <t xml:space="preserve">@lungo_skg</t>
  </si>
  <si>
    <t xml:space="preserve">Coffee / Brunch / Gluten free</t>
  </si>
  <si>
    <t xml:space="preserve">Napoleon Brasserie • Cafe</t>
  </si>
  <si>
    <t xml:space="preserve">@napoleonthessaloniki</t>
  </si>
  <si>
    <t xml:space="preserve">Φράγκων 13</t>
  </si>
  <si>
    <t xml:space="preserve">Brasserie / Cafe</t>
  </si>
  <si>
    <t xml:space="preserve">Χειροποίητο πρωινό, καφές, γλυκά</t>
  </si>
  <si>
    <t xml:space="preserve">NIRO</t>
  </si>
  <si>
    <t xml:space="preserve">@niro.skg</t>
  </si>
  <si>
    <t xml:space="preserve">Coffee-Brunch-Cocktail bar</t>
  </si>
  <si>
    <t xml:space="preserve">Oberon.bar</t>
  </si>
  <si>
    <t xml:space="preserve">@oberonbar</t>
  </si>
  <si>
    <t xml:space="preserve">Coffee-Bar-Restaurant</t>
  </si>
  <si>
    <t xml:space="preserve">Τηλ. 2310 228400</t>
  </si>
  <si>
    <t xml:space="preserve">Pantheon Bar</t>
  </si>
  <si>
    <t xml:space="preserve">@pantheon.bar</t>
  </si>
  <si>
    <t xml:space="preserve">Από το 2002</t>
  </si>
  <si>
    <t xml:space="preserve">Prigipos Coffee &amp; Beer House</t>
  </si>
  <si>
    <t xml:space="preserve">@cafe.prigipos</t>
  </si>
  <si>
    <t xml:space="preserve">Coffee &amp; Beer house</t>
  </si>
  <si>
    <t xml:space="preserve">Sebil Coffee &amp; Cocktails</t>
  </si>
  <si>
    <t xml:space="preserve">@sebil_skg</t>
  </si>
  <si>
    <t xml:space="preserve">Άνω Λαδάδικα (Πλ. Εμπορίου)</t>
  </si>
  <si>
    <t xml:space="preserve">Cafe-Cocktail bar / Brunch</t>
  </si>
  <si>
    <t xml:space="preserve">08:00-00:00, μπουφές πρωινό</t>
  </si>
  <si>
    <t xml:space="preserve">Shark Bar Restaurant</t>
  </si>
  <si>
    <t xml:space="preserve">@sharkbarrestaurant</t>
  </si>
  <si>
    <t xml:space="preserve">Αρετσού (θάλασσα)</t>
  </si>
  <si>
    <r>
      <rPr>
        <sz val="11"/>
        <rFont val="Arial"/>
        <family val="0"/>
        <charset val="1"/>
      </rPr>
      <t xml:space="preserve">shed </t>
    </r>
    <r>
      <rPr>
        <sz val="11"/>
        <rFont val="WenQuanYi Zen Hei"/>
        <family val="2"/>
      </rPr>
      <t xml:space="preserve">小屋 </t>
    </r>
    <r>
      <rPr>
        <sz val="11"/>
        <rFont val="Arial"/>
        <family val="0"/>
        <charset val="1"/>
      </rPr>
      <t xml:space="preserve">Specialty Coffee</t>
    </r>
  </si>
  <si>
    <t xml:space="preserve">@shed._co</t>
  </si>
  <si>
    <t xml:space="preserve">08:00-24:00</t>
  </si>
  <si>
    <t xml:space="preserve">Skyline (Πύργος ΟΤΕ)</t>
  </si>
  <si>
    <t xml:space="preserve">@skyline_cafe_bar</t>
  </si>
  <si>
    <t xml:space="preserve">ΔΕΘ / Πύργος ΟΤΕ</t>
  </si>
  <si>
    <t xml:space="preserve">Περιστρεφόμενο bar, κρατήσεις 2310 265460</t>
  </si>
  <si>
    <t xml:space="preserve">Stathmos Cafe</t>
  </si>
  <si>
    <t xml:space="preserve">@stathmos.cafe</t>
  </si>
  <si>
    <t xml:space="preserve">Εύοσμος</t>
  </si>
  <si>
    <t xml:space="preserve">Cafe / Brunch / Bakery</t>
  </si>
  <si>
    <t xml:space="preserve">Sòrtie Coffee</t>
  </si>
  <si>
    <t xml:space="preserve">@sortiecoffee</t>
  </si>
  <si>
    <t xml:space="preserve">Γούναρη 20 (Ροτόντα)</t>
  </si>
  <si>
    <t xml:space="preserve">Coffee &amp; Wine bar</t>
  </si>
  <si>
    <t xml:space="preserve">Συνιστώνται κρατήσεις</t>
  </si>
  <si>
    <t xml:space="preserve">The Bar L.A.B.</t>
  </si>
  <si>
    <t xml:space="preserve">@thebarlabskg</t>
  </si>
  <si>
    <t xml:space="preserve">Coffee-Cocktail bar</t>
  </si>
  <si>
    <t xml:space="preserve">Brunch 10:00-15:00</t>
  </si>
  <si>
    <t xml:space="preserve">Villa Luna</t>
  </si>
  <si>
    <t xml:space="preserve">@villalunapanorama</t>
  </si>
  <si>
    <t xml:space="preserve">Πανόραμα</t>
  </si>
  <si>
    <t xml:space="preserve">10:00-01:00</t>
  </si>
  <si>
    <t xml:space="preserve">Αστόρια Καφενείο</t>
  </si>
  <si>
    <t xml:space="preserve">@astoria_skg</t>
  </si>
  <si>
    <t xml:space="preserve">Ανάκτορο Γαλερίου</t>
  </si>
  <si>
    <t xml:space="preserve">Pet friendly, ανοιχτό καθημερινά</t>
  </si>
  <si>
    <t xml:space="preserve">Θεραπείον</t>
  </si>
  <si>
    <t xml:space="preserve">@therapeion</t>
  </si>
  <si>
    <t xml:space="preserve">Κανάρη 75</t>
  </si>
  <si>
    <t xml:space="preserve">Ουζερί-Καφέ</t>
  </si>
  <si>
    <t xml:space="preserve">Τηλ. 2310 914444</t>
  </si>
  <si>
    <t xml:space="preserve">Καφέ-Μπαρ Σάρωθρον</t>
  </si>
  <si>
    <t xml:space="preserve">@sarothron_cafe_bar</t>
  </si>
  <si>
    <t xml:space="preserve">~13K followers, συνεργασία με E-Radio</t>
  </si>
  <si>
    <t xml:space="preserve">Καφενείον Ο Ερμής</t>
  </si>
  <si>
    <t xml:space="preserve">@kafeneionoermis</t>
  </si>
  <si>
    <t xml:space="preserve">Ιστορία ~200 χρόνων</t>
  </si>
  <si>
    <t xml:space="preserve">Λόφος Cafe • Bar • Restaurant</t>
  </si>
  <si>
    <t xml:space="preserve">@lofosthessaloniki</t>
  </si>
  <si>
    <t xml:space="preserve">Πυλαία</t>
  </si>
  <si>
    <t xml:space="preserve">Εστιατόριο Δ-Π 13:00-22:30, Π-Κ 10:00-22:30</t>
  </si>
  <si>
    <t xml:space="preserve">Πλειάδες Cafe Bar</t>
  </si>
  <si>
    <t xml:space="preserve">@pleiades_cafe_bar</t>
  </si>
  <si>
    <t xml:space="preserve">Παπάφη</t>
  </si>
  <si>
    <t xml:space="preserve">Καφές/μπύρα/ποτό/πρωινό, -10% φοιτητές (ήδη κάνει προσφορές)</t>
  </si>
  <si>
    <t xml:space="preserve">Το Κτήμα</t>
  </si>
  <si>
    <t xml:space="preserve">@toktima</t>
  </si>
  <si>
    <t xml:space="preserve">Εστιατόριο-Cafe</t>
  </si>
  <si>
    <t xml:space="preserve">Θέα σε όλη την πόλη</t>
  </si>
  <si>
    <t xml:space="preserve">Φοίνιξ Καφενείο</t>
  </si>
  <si>
    <t xml:space="preserve">@phoenix_kafeneio_skg</t>
  </si>
  <si>
    <t xml:space="preserve">12:00-24:00 καθημερινά</t>
  </si>
  <si>
    <t xml:space="preserve">Athinaiko Souvlaki</t>
  </si>
  <si>
    <t xml:space="preserve">@athinaikosouvlaki</t>
  </si>
  <si>
    <t xml:space="preserve">Καρόλου Ντηλ 23</t>
  </si>
  <si>
    <t xml:space="preserve">4.8★ Google, σε Wolt/efood</t>
  </si>
  <si>
    <t xml:space="preserve">Austin Smokehouse BBQ</t>
  </si>
  <si>
    <t xml:space="preserve">@austin.skg</t>
  </si>
  <si>
    <t xml:space="preserve">Λαδάδικα (Κατούνη 25)</t>
  </si>
  <si>
    <t xml:space="preserve">BBQ Smokehouse</t>
  </si>
  <si>
    <t xml:space="preserve">Berlin Bar</t>
  </si>
  <si>
    <t xml:space="preserve">@berlin_bar_thessaloniki</t>
  </si>
  <si>
    <t xml:space="preserve">Από το 1979</t>
  </si>
  <si>
    <t xml:space="preserve">Blé Vin</t>
  </si>
  <si>
    <t xml:space="preserve">@blevinthessaloniki</t>
  </si>
  <si>
    <t xml:space="preserve">Wine bar / Prosciutteria</t>
  </si>
  <si>
    <t xml:space="preserve">Τηλ. 2310 231201</t>
  </si>
  <si>
    <t xml:space="preserve">CABARE</t>
  </si>
  <si>
    <t xml:space="preserve">@cabare.thessaloniki</t>
  </si>
  <si>
    <t xml:space="preserve">Casper at Verykoko</t>
  </si>
  <si>
    <t xml:space="preserve">@casper_at_verykoko</t>
  </si>
  <si>
    <t xml:space="preserve">Λαδάδικα (Πλ. Μοριχόβου 11)</t>
  </si>
  <si>
    <t xml:space="preserve">Drosia – Νεοκλασικόν Ταβερνείον</t>
  </si>
  <si>
    <t xml:space="preserve">@drosiaskg</t>
  </si>
  <si>
    <t xml:space="preserve">Νεοκλασικό κτίριο</t>
  </si>
  <si>
    <t xml:space="preserve">Ennea Rooftop Bar</t>
  </si>
  <si>
    <t xml:space="preserve">@ennea.rooftopbar</t>
  </si>
  <si>
    <t xml:space="preserve">Enola Bar Club</t>
  </si>
  <si>
    <t xml:space="preserve">@enolabarclub</t>
  </si>
  <si>
    <t xml:space="preserve">Βαλαωρίτου 19 (2ος)</t>
  </si>
  <si>
    <t xml:space="preserve">Ανοιχτό 7/7</t>
  </si>
  <si>
    <t xml:space="preserve">Fennel Gastrotavern</t>
  </si>
  <si>
    <t xml:space="preserve">@fennel_gastrotavern</t>
  </si>
  <si>
    <t xml:space="preserve">Καλαμαριά (Σοφούλη 89)</t>
  </si>
  <si>
    <t xml:space="preserve">Γαστροταβέρνα</t>
  </si>
  <si>
    <t xml:space="preserve">Μουσική τα Σάββατα</t>
  </si>
  <si>
    <t xml:space="preserve">FOLIĂ</t>
  </si>
  <si>
    <t xml:space="preserve">@folia.skg</t>
  </si>
  <si>
    <t xml:space="preserve">Gatsby</t>
  </si>
  <si>
    <t xml:space="preserve">@gatsbythessaloniki</t>
  </si>
  <si>
    <t xml:space="preserve">Shisha Bar-Restaurant</t>
  </si>
  <si>
    <t xml:space="preserve">Από 18:00</t>
  </si>
  <si>
    <t xml:space="preserve">Gorilla Bar</t>
  </si>
  <si>
    <t xml:space="preserve">@gorillabarskg</t>
  </si>
  <si>
    <t xml:space="preserve">Lykos – Χασαποταβέρνα</t>
  </si>
  <si>
    <t xml:space="preserve">@lykos_thermi</t>
  </si>
  <si>
    <t xml:space="preserve">Θέρμη</t>
  </si>
  <si>
    <t xml:space="preserve">Χασαποταβέρνα / Οινοπωλείο</t>
  </si>
  <si>
    <t xml:space="preserve">Papagalos Rock Bar</t>
  </si>
  <si>
    <t xml:space="preserve">@papagalosrockbar</t>
  </si>
  <si>
    <t xml:space="preserve">Λόρδου Βύρωνος 2</t>
  </si>
  <si>
    <t xml:space="preserve">Rock Bar</t>
  </si>
  <si>
    <t xml:space="preserve">PAX Burgers</t>
  </si>
  <si>
    <t xml:space="preserve">@paxburgers</t>
  </si>
  <si>
    <t xml:space="preserve">Θεσσαλονίκη + Αθήνα</t>
  </si>
  <si>
    <t xml:space="preserve">Burger house</t>
  </si>
  <si>
    <t xml:space="preserve">Best Burger House 2023, Best Burger 2024</t>
  </si>
  <si>
    <t xml:space="preserve">Po'boys Burgers &amp; BBQ</t>
  </si>
  <si>
    <t xml:space="preserve">@poboys_skg</t>
  </si>
  <si>
    <t xml:space="preserve">Αγίου Μηνά 7</t>
  </si>
  <si>
    <t xml:space="preserve">Burgers &amp; BBQ</t>
  </si>
  <si>
    <t xml:space="preserve">Prassas Grill</t>
  </si>
  <si>
    <t xml:space="preserve">@prassasgrill</t>
  </si>
  <si>
    <t xml:space="preserve">Μπότσαρη (Μ. Μπότσαρη 89)</t>
  </si>
  <si>
    <t xml:space="preserve">Γυράδικο / Grill</t>
  </si>
  <si>
    <t xml:space="preserve">Από το 1998</t>
  </si>
  <si>
    <t xml:space="preserve">PRATINA Burger Project</t>
  </si>
  <si>
    <t xml:space="preserve">@pratinaburger.skg</t>
  </si>
  <si>
    <t xml:space="preserve">Burgers / Street food</t>
  </si>
  <si>
    <t xml:space="preserve">efood &amp; Wolt</t>
  </si>
  <si>
    <t xml:space="preserve">ReHaB Pub</t>
  </si>
  <si>
    <t xml:space="preserve">@rehabpub</t>
  </si>
  <si>
    <t xml:space="preserve">Craft beer pub</t>
  </si>
  <si>
    <t xml:space="preserve">Ελληνικές craft μπύρες &amp; φαγητό</t>
  </si>
  <si>
    <t xml:space="preserve">Siena Pizzeria</t>
  </si>
  <si>
    <t xml:space="preserve">@siena.pizzeria.evosmos</t>
  </si>
  <si>
    <t xml:space="preserve">Εύοσμος (Καραολή &amp; Δημητρίου 257)</t>
  </si>
  <si>
    <t xml:space="preserve">Πιτσαρία</t>
  </si>
  <si>
    <t xml:space="preserve">13:00-00:30</t>
  </si>
  <si>
    <t xml:space="preserve">Sinergio</t>
  </si>
  <si>
    <t xml:space="preserve">@sinergiobeer</t>
  </si>
  <si>
    <t xml:space="preserve">Τούμπα (Μικράς Ασίας 3)</t>
  </si>
  <si>
    <t xml:space="preserve">STOA BAR by «Μη με Λησμόνει»</t>
  </si>
  <si>
    <t xml:space="preserve">@stoabar.mimelismonei</t>
  </si>
  <si>
    <t xml:space="preserve">Κέντρο (Ερμείον, Βενιζέλου)</t>
  </si>
  <si>
    <t xml:space="preserve">Bar / Artspace</t>
  </si>
  <si>
    <t xml:space="preserve">Νέο μαγαζί στο ισόγειο του Ερμείον</t>
  </si>
  <si>
    <t xml:space="preserve">The PUB Thessaloniki</t>
  </si>
  <si>
    <t xml:space="preserve">@thepub.thessaloniki</t>
  </si>
  <si>
    <t xml:space="preserve">Irish pub</t>
  </si>
  <si>
    <t xml:space="preserve">13 βαρέλια, 30+ φιάλες</t>
  </si>
  <si>
    <t xml:space="preserve">Utopia Taproom</t>
  </si>
  <si>
    <t xml:space="preserve">@utopia_taproom</t>
  </si>
  <si>
    <t xml:space="preserve">Craft beer taproom</t>
  </si>
  <si>
    <t xml:space="preserve">Zeme</t>
  </si>
  <si>
    <t xml:space="preserve">@zeme.skg</t>
  </si>
  <si>
    <t xml:space="preserve">Ολύμπου 1</t>
  </si>
  <si>
    <t xml:space="preserve">35 μεζέδες, χωρίς κρατήσεις, τηλ. 2317 009542</t>
  </si>
  <si>
    <t xml:space="preserve">Άδυτο Rock Bar</t>
  </si>
  <si>
    <t xml:space="preserve">@adytorockbar</t>
  </si>
  <si>
    <t xml:space="preserve">Λαδάδικα</t>
  </si>
  <si>
    <t xml:space="preserve">Βογατσικού 3</t>
  </si>
  <si>
    <t xml:space="preserve">@vogatsikou_3</t>
  </si>
  <si>
    <t xml:space="preserve">Κέντρο (Βογατσικού 3)</t>
  </si>
  <si>
    <t xml:space="preserve">Bar-Restaurant</t>
  </si>
  <si>
    <t xml:space="preserve">Γυράδικο</t>
  </si>
  <si>
    <t xml:space="preserve">@gyradiko_</t>
  </si>
  <si>
    <t xml:space="preserve">Λαμπράκη 125</t>
  </si>
  <si>
    <t xml:space="preserve">11:00-03:00</t>
  </si>
  <si>
    <t xml:space="preserve">Γύρω gyro στα Λαδάδικα</t>
  </si>
  <si>
    <t xml:space="preserve">@gyro_gyro_sta_ladadika</t>
  </si>
  <si>
    <t xml:space="preserve">Εσπεράντο – Διεθνές Αργοφαγείο</t>
  </si>
  <si>
    <t xml:space="preserve">@esperanto.skg</t>
  </si>
  <si>
    <t xml:space="preserve">Τούμπα</t>
  </si>
  <si>
    <t xml:space="preserve">Εστιατόριο / Hangout</t>
  </si>
  <si>
    <t xml:space="preserve">Η Νέα Φωλιά</t>
  </si>
  <si>
    <t xml:space="preserve">@ineafolia</t>
  </si>
  <si>
    <t xml:space="preserve">Κουτούκι / Εστιατόριο</t>
  </si>
  <si>
    <t xml:space="preserve">Δημιουργική ελληνική κουζίνα, από το 1967</t>
  </si>
  <si>
    <t xml:space="preserve">Ιβίσκος</t>
  </si>
  <si>
    <t xml:space="preserve">@iviskos_skg</t>
  </si>
  <si>
    <t xml:space="preserve">Μπότσαρη (Αναλήψεως 67)</t>
  </si>
  <si>
    <t xml:space="preserve">Μεζεδοπωλείο-Εστιατόριο</t>
  </si>
  <si>
    <t xml:space="preserve">Κρατήσεις 2310 870099</t>
  </si>
  <si>
    <t xml:space="preserve">Ιπποπόταμος</t>
  </si>
  <si>
    <t xml:space="preserve">@ippopotamos_skg</t>
  </si>
  <si>
    <t xml:space="preserve">Καντούνι</t>
  </si>
  <si>
    <t xml:space="preserve">@kantouni_ladadika</t>
  </si>
  <si>
    <t xml:space="preserve">Λαδάδικα (Κατούνη)</t>
  </si>
  <si>
    <t xml:space="preserve">Ουζερί / Ταβέρνα</t>
  </si>
  <si>
    <t xml:space="preserve">Μίμης Σουβλάκια</t>
  </si>
  <si>
    <t xml:space="preserve">@mimis.souvlakia</t>
  </si>
  <si>
    <t xml:space="preserve">Λ. Στρατού 30 + Καλαμαριά (Κομνηνών 78)</t>
  </si>
  <si>
    <t xml:space="preserve">Κάρβουνα</t>
  </si>
  <si>
    <t xml:space="preserve">Μεζεδάκι Μπαρ</t>
  </si>
  <si>
    <t xml:space="preserve">@mezedakibar</t>
  </si>
  <si>
    <t xml:space="preserve">Κάτω Τούμπα (Μικράς Ασίας 5-7)</t>
  </si>
  <si>
    <t xml:space="preserve">Μεζεδοπωλείο-Bar</t>
  </si>
  <si>
    <t xml:space="preserve">Μεζεδοπωλείο Σουρτούκω</t>
  </si>
  <si>
    <t xml:space="preserve">@sourtoukw_meze</t>
  </si>
  <si>
    <t xml:space="preserve">Μονμάρτη</t>
  </si>
  <si>
    <t xml:space="preserve">@monmarti_winebar</t>
  </si>
  <si>
    <t xml:space="preserve">Wine bar-Restaurant</t>
  </si>
  <si>
    <t xml:space="preserve">Κρατήσεις 2310 414814</t>
  </si>
  <si>
    <t xml:space="preserve">Ντερλικατέσεν</t>
  </si>
  <si>
    <t xml:space="preserve">@derlikatesen</t>
  </si>
  <si>
    <t xml:space="preserve">Κουσκούρα 3</t>
  </si>
  <si>
    <t xml:space="preserve">Πρωτότυπα σάντουιτς</t>
  </si>
  <si>
    <t xml:space="preserve">Πιτσαρία Νεάπολη</t>
  </si>
  <si>
    <t xml:space="preserve">@pitsaria_neapoli</t>
  </si>
  <si>
    <t xml:space="preserve">Νεάπολη</t>
  </si>
  <si>
    <t xml:space="preserve">Πιτσαρία / Aperitivo</t>
  </si>
  <si>
    <t xml:space="preserve">Δ-Σ 18:00-24:00</t>
  </si>
  <si>
    <t xml:space="preserve">Τα Βλάχικα</t>
  </si>
  <si>
    <t xml:space="preserve">@ta_vlachika.thessaloniki</t>
  </si>
  <si>
    <t xml:space="preserve">Καλαμαριά (Σοφούλη 74)</t>
  </si>
  <si>
    <t xml:space="preserve">Χασαποταβέρνα</t>
  </si>
  <si>
    <t xml:space="preserve">Το Δίχτυ</t>
  </si>
  <si>
    <t xml:space="preserve">@todixti</t>
  </si>
  <si>
    <t xml:space="preserve">Βολιώτικο Τσιπουράδικο</t>
  </si>
  <si>
    <t xml:space="preserve">Το Κουρμπέτι</t>
  </si>
  <si>
    <t xml:space="preserve">@tokourmpeti</t>
  </si>
  <si>
    <t xml:space="preserve">Λαδάδικα (Βαΐου 2)</t>
  </si>
  <si>
    <t xml:space="preserve">Παραδοσιακή ταβέρνα</t>
  </si>
  <si>
    <t xml:space="preserve">ΦÓLKI</t>
  </si>
  <si>
    <t xml:space="preserve">@folki.skg</t>
  </si>
  <si>
    <t xml:space="preserve">Φλισκούνι Μεζεδοπωλείο</t>
  </si>
  <si>
    <t xml:space="preserve">@fliskouni.meze</t>
  </si>
  <si>
    <t xml:space="preserve">Σεφ-ιδιοκτήτης Χάρης Λιούβας</t>
  </si>
  <si>
    <t xml:space="preserve">Χρήστος Γυράδικο</t>
  </si>
  <si>
    <t xml:space="preserve">@xristosgyradiko.gr</t>
  </si>
  <si>
    <t xml:space="preserve">Εγνατίας 150 + Νεάπολη (Βενιζέλου 56-58)</t>
  </si>
  <si>
    <t xml:space="preserve">2 καταστήματα</t>
  </si>
  <si>
    <t xml:space="preserve">Ψητοπωλείο Καλοφαγάς</t>
  </si>
  <si>
    <t xml:space="preserve">@kalofagas_ladadika</t>
  </si>
  <si>
    <t xml:space="preserve">Ψητοπωλείο</t>
  </si>
  <si>
    <t xml:space="preserve">Βασίλης Ζαχαροπλαστεία</t>
  </si>
  <si>
    <t xml:space="preserve">@zaxaroplasteia_vasilis</t>
  </si>
  <si>
    <t xml:space="preserve">Νικόπολη / Πολίχνη</t>
  </si>
  <si>
    <t xml:space="preserve">Ζαχαροπλαστείο-Cafe</t>
  </si>
  <si>
    <t xml:space="preserve">Ζαχαροπλαστείο Σαράι</t>
  </si>
  <si>
    <t xml:space="preserve">@sarai_patisserie</t>
  </si>
  <si>
    <t xml:space="preserve">Πλ. Άθωνος (Δημητσά 7)</t>
  </si>
  <si>
    <t xml:space="preserve">Ζαχαροπλαστείο</t>
  </si>
  <si>
    <t xml:space="preserve">Τηλ. 2310 938888</t>
  </si>
  <si>
    <t xml:space="preserve">Τζένεραλ Ζαχαροπλαστείο</t>
  </si>
  <si>
    <t xml:space="preserve">@tzeneral_zaxaroplasteio</t>
  </si>
  <si>
    <t xml:space="preserve">Κέντρο (Παύλου Μελά 44)</t>
  </si>
  <si>
    <t xml:space="preserve">Ζαχαροπλαστείο / Μπουγάτσα</t>
  </si>
  <si>
    <t xml:space="preserve">Πρότυπα μηνυμάτων για Instagram DM</t>
  </si>
  <si>
    <t xml:space="preserve">Άλλαξε το κείμενο εδώ και ενημερώνεται αυτόματα η στήλη «Έτοιμο μήνυμα» στο φύλλο Λογαριασμοί. Το {ΚΑΤΑΣΤΗΜΑ} γίνεται το όνομα του μαγαζιού και το {ΟΝΟΜΑ} το όνομά σου.</t>
  </si>
  <si>
    <t xml:space="preserve">Το όνομά σου (συμπλήρωσε)</t>
  </si>
  <si>
    <t xml:space="preserve">[Το όνομά σου]</t>
  </si>
  <si>
    <t xml:space="preserve">Πρότυπο</t>
  </si>
  <si>
    <t xml:space="preserve">Κείμενο</t>
  </si>
  <si>
    <t xml:space="preserve">1ο μήνυμα – Καφέ / All-day / Brunch (προτεραιότητα A)</t>
  </si>
  <si>
    <t xml:space="preserve">Γεια σας! 👋 Είμαι ο/η {ΟΝΟΜΑ} από την Anbit (anbit.gr). Μας άρεσε πολύ το {ΚΑΤΑΣΤΗΜΑ}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t>
  </si>
  <si>
    <t xml:space="preserve">1ο μήνυμα – Bar / Ταβέρνα / Εστιατόριο / Street food (προτεραιότητα B, C)</t>
  </si>
  <si>
    <t xml:space="preserve">Γεια σας! 👋 Είμαι ο/η {ΟΝΟΜΑ} από την Anbit (anbit.gr). Είδαμε το {ΚΑΤΑΣΤΗΜΑ}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t>
  </si>
  <si>
    <t xml:space="preserve">Follow-up (3-4 μέρες μετά, αν δεν απαντήσουν)</t>
  </si>
  <si>
    <t xml:space="preserve">Καλησπέρα ξανά από την Anbit! 😊 Ήθελα απλώς να δω αν είδατε το μήνυμά μου για το QR ordering με επιβράβευση πελατών για το {ΚΑΤΑΣΤΗΜΑ}. Αν σας ενδιαφέρει, περνάμε όποτε σας βολεύει για 10 λεπτά, χωρίς καμία δέσμευση. Μπορείτε να δείτε και περισσότερα στο anbit.gr</t>
  </si>
  <si>
    <t xml:space="preserve">Απάντηση: «Πόσο κοστίζει;»</t>
  </si>
  <si>
    <t xml:space="preserve">Ευχαριστούμε για το ενδιαφέρον! Η Anbit δεν παίρνει καμία προμήθεια από τις παραγγελίες (0%), αφού ο πελάτης πληρώνει όπως πάντα στο ταμείο σας. Το κόστος είναι [ΣΥΜΠΛΗΡΩΣΕ ΤΙΜΗ/ΠΑΚΕΤΟ]. Θέλετε να κλείσουμε μια σύντομη παρουσίαση για να το δείτε στην πράξη στο {ΚΑΤΑΣΤΗΜΑ};</t>
  </si>
</sst>
</file>

<file path=xl/styles.xml><?xml version="1.0" encoding="utf-8"?>
<styleSheet xmlns="http://schemas.openxmlformats.org/spreadsheetml/2006/main">
  <numFmts count="4">
    <numFmt numFmtId="164" formatCode="General"/>
    <numFmt numFmtId="165" formatCode="General"/>
    <numFmt numFmtId="166" formatCode="0.0%"/>
    <numFmt numFmtId="167" formatCode="dd/mm/yyyy"/>
  </numFmts>
  <fonts count="13">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1"/>
      <color rgb="FF595959"/>
      <name val="Arial"/>
      <family val="0"/>
      <charset val="1"/>
    </font>
    <font>
      <b val="true"/>
      <sz val="11"/>
      <color rgb="FFFFFFFF"/>
      <name val="Arial"/>
      <family val="0"/>
      <charset val="1"/>
    </font>
    <font>
      <b val="true"/>
      <sz val="11"/>
      <name val="Arial"/>
      <family val="0"/>
      <charset val="1"/>
    </font>
    <font>
      <sz val="11"/>
      <name val="Arial"/>
      <family val="0"/>
      <charset val="1"/>
    </font>
    <font>
      <b val="true"/>
      <sz val="12"/>
      <color rgb="FF1F3A5F"/>
      <name val="Arial"/>
      <family val="0"/>
      <charset val="1"/>
    </font>
    <font>
      <u val="single"/>
      <sz val="11"/>
      <color rgb="FF0563C1"/>
      <name val="Arial"/>
      <family val="0"/>
      <charset val="1"/>
    </font>
    <font>
      <sz val="11"/>
      <color rgb="FFC00000"/>
      <name val="Arial"/>
      <family val="0"/>
      <charset val="1"/>
    </font>
    <font>
      <sz val="11"/>
      <name val="WenQuanYi Zen Hei"/>
      <family val="2"/>
    </font>
  </fonts>
  <fills count="5">
    <fill>
      <patternFill patternType="none"/>
    </fill>
    <fill>
      <patternFill patternType="gray125"/>
    </fill>
    <fill>
      <patternFill patternType="solid">
        <fgColor rgb="FF1F3A5F"/>
        <bgColor rgb="FF333333"/>
      </patternFill>
    </fill>
    <fill>
      <patternFill patternType="solid">
        <fgColor rgb="FFBF8F00"/>
        <bgColor rgb="FF808000"/>
      </patternFill>
    </fill>
    <fill>
      <patternFill patternType="solid">
        <fgColor rgb="FFFFF2CC"/>
        <bgColor rgb="FFEDEDED"/>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7" fontId="8" fillId="4"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FEB9C"/>
          <bgColor rgb="FF000000"/>
        </patternFill>
      </fill>
    </dxf>
    <dxf>
      <fill>
        <patternFill patternType="solid">
          <fgColor rgb="FFC00000"/>
          <bgColor rgb="FF000000"/>
        </patternFill>
      </fill>
    </dxf>
    <dxf>
      <fill>
        <patternFill patternType="solid">
          <fgColor rgb="FFBF8F00"/>
          <bgColor rgb="FF000000"/>
        </patternFill>
      </fill>
    </dxf>
    <dxf>
      <fill>
        <patternFill patternType="solid">
          <fgColor rgb="FFFFF2CC"/>
          <bgColor rgb="FF000000"/>
        </patternFill>
      </fill>
    </dxf>
    <dxf>
      <fill>
        <patternFill>
          <bgColor rgb="FFC6EFCE"/>
        </patternFill>
      </fill>
    </dxf>
    <dxf>
      <fill>
        <patternFill>
          <bgColor rgb="FFA9D08E"/>
        </patternFill>
      </fill>
    </dxf>
    <dxf>
      <fill>
        <patternFill>
          <bgColor rgb="FF70AD47"/>
        </patternFill>
      </fill>
    </dxf>
    <dxf>
      <fill>
        <patternFill>
          <bgColor rgb="FFF4CCCC"/>
        </patternFill>
      </fill>
    </dxf>
    <dxf>
      <fill>
        <patternFill>
          <bgColor rgb="FFDDEBF7"/>
        </patternFill>
      </fill>
    </dxf>
    <dxf>
      <fill>
        <patternFill>
          <bgColor rgb="FFBDD7EE"/>
        </patternFill>
      </fill>
    </dxf>
    <dxf>
      <fill>
        <patternFill>
          <bgColor rgb="FFFFEB9C"/>
        </patternFill>
      </fill>
    </dxf>
    <dxf>
      <fill>
        <patternFill>
          <bgColor rgb="FFEDEDE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2CC"/>
      <rgbColor rgb="FFDDEBF7"/>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EDEDED"/>
      <rgbColor rgb="FFC6EFCE"/>
      <rgbColor rgb="FFFFEB9C"/>
      <rgbColor rgb="FFD9D9D9"/>
      <rgbColor rgb="FFFF99CC"/>
      <rgbColor rgb="FFCC99FF"/>
      <rgbColor rgb="FFF4CCCC"/>
      <rgbColor rgb="FF3366FF"/>
      <rgbColor rgb="FF33CCCC"/>
      <rgbColor rgb="FF99CC00"/>
      <rgbColor rgb="FFFFCC00"/>
      <rgbColor rgb="FFBF8F00"/>
      <rgbColor rgb="FFFF6600"/>
      <rgbColor rgb="FF595959"/>
      <rgbColor rgb="FF70AD47"/>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instagram.com/adonis_alemanias/" TargetMode="External"/><Relationship Id="rId2" Type="http://schemas.openxmlformats.org/officeDocument/2006/relationships/hyperlink" Target="https://ig.me/m/adonis_alemanias" TargetMode="External"/><Relationship Id="rId3" Type="http://schemas.openxmlformats.org/officeDocument/2006/relationships/hyperlink" Target="https://www.instagram.com/aroma.cafe.bar.gizi/" TargetMode="External"/><Relationship Id="rId4" Type="http://schemas.openxmlformats.org/officeDocument/2006/relationships/hyperlink" Target="https://ig.me/m/aroma.cafe.bar.gizi" TargetMode="External"/><Relationship Id="rId5" Type="http://schemas.openxmlformats.org/officeDocument/2006/relationships/hyperlink" Target="https://www.instagram.com/atheneeathens/" TargetMode="External"/><Relationship Id="rId6" Type="http://schemas.openxmlformats.org/officeDocument/2006/relationships/hyperlink" Target="https://ig.me/m/atheneeathens" TargetMode="External"/><Relationship Id="rId7" Type="http://schemas.openxmlformats.org/officeDocument/2006/relationships/hyperlink" Target="https://www.instagram.com/im.notinathens/" TargetMode="External"/><Relationship Id="rId8" Type="http://schemas.openxmlformats.org/officeDocument/2006/relationships/hyperlink" Target="https://ig.me/m/im.notinathens" TargetMode="External"/><Relationship Id="rId9" Type="http://schemas.openxmlformats.org/officeDocument/2006/relationships/hyperlink" Target="https://www.instagram.com/baristas_neasmirni/" TargetMode="External"/><Relationship Id="rId10" Type="http://schemas.openxmlformats.org/officeDocument/2006/relationships/hyperlink" Target="https://ig.me/m/baristas_neasmirni" TargetMode="External"/><Relationship Id="rId11" Type="http://schemas.openxmlformats.org/officeDocument/2006/relationships/hyperlink" Target="https://www.instagram.com/bistro_cafe_bar_restaurant/" TargetMode="External"/><Relationship Id="rId12" Type="http://schemas.openxmlformats.org/officeDocument/2006/relationships/hyperlink" Target="https://ig.me/m/bistro_cafe_bar_restaurant" TargetMode="External"/><Relationship Id="rId13" Type="http://schemas.openxmlformats.org/officeDocument/2006/relationships/hyperlink" Target="https://www.instagram.com/black_duck_athens/" TargetMode="External"/><Relationship Id="rId14" Type="http://schemas.openxmlformats.org/officeDocument/2006/relationships/hyperlink" Target="https://ig.me/m/black_duck_athens" TargetMode="External"/><Relationship Id="rId15" Type="http://schemas.openxmlformats.org/officeDocument/2006/relationships/hyperlink" Target="https://www.instagram.com/branch.athens/" TargetMode="External"/><Relationship Id="rId16" Type="http://schemas.openxmlformats.org/officeDocument/2006/relationships/hyperlink" Target="https://ig.me/m/branch.athens" TargetMode="External"/><Relationship Id="rId17" Type="http://schemas.openxmlformats.org/officeDocument/2006/relationships/hyperlink" Target="https://www.instagram.com/brazilianabar/" TargetMode="External"/><Relationship Id="rId18" Type="http://schemas.openxmlformats.org/officeDocument/2006/relationships/hyperlink" Target="https://ig.me/m/brazilianabar" TargetMode="External"/><Relationship Id="rId19" Type="http://schemas.openxmlformats.org/officeDocument/2006/relationships/hyperlink" Target="https://www.instagram.com/bunkok.glyfada/" TargetMode="External"/><Relationship Id="rId20" Type="http://schemas.openxmlformats.org/officeDocument/2006/relationships/hyperlink" Target="https://ig.me/m/bunkok.glyfada" TargetMode="External"/><Relationship Id="rId21" Type="http://schemas.openxmlformats.org/officeDocument/2006/relationships/hyperlink" Target="https://www.instagram.com/cococafebeat/" TargetMode="External"/><Relationship Id="rId22" Type="http://schemas.openxmlformats.org/officeDocument/2006/relationships/hyperlink" Target="https://ig.me/m/cococafebeat" TargetMode="External"/><Relationship Id="rId23" Type="http://schemas.openxmlformats.org/officeDocument/2006/relationships/hyperlink" Target="https://www.instagram.com/coffeenroses_/" TargetMode="External"/><Relationship Id="rId24" Type="http://schemas.openxmlformats.org/officeDocument/2006/relationships/hyperlink" Target="https://ig.me/m/coffeenroses_" TargetMode="External"/><Relationship Id="rId25" Type="http://schemas.openxmlformats.org/officeDocument/2006/relationships/hyperlink" Target="https://www.instagram.com/colonialglyfada/" TargetMode="External"/><Relationship Id="rId26" Type="http://schemas.openxmlformats.org/officeDocument/2006/relationships/hyperlink" Target="https://ig.me/m/colonialglyfada" TargetMode="External"/><Relationship Id="rId27" Type="http://schemas.openxmlformats.org/officeDocument/2006/relationships/hyperlink" Target="https://www.instagram.com/el_sito_coffeebar/" TargetMode="External"/><Relationship Id="rId28" Type="http://schemas.openxmlformats.org/officeDocument/2006/relationships/hyperlink" Target="https://ig.me/m/el_sito_coffeebar" TargetMode="External"/><Relationship Id="rId29" Type="http://schemas.openxmlformats.org/officeDocument/2006/relationships/hyperlink" Target="https://www.instagram.com/espressakicafebistro/" TargetMode="External"/><Relationship Id="rId30" Type="http://schemas.openxmlformats.org/officeDocument/2006/relationships/hyperlink" Target="https://ig.me/m/espressakicafebistro" TargetMode="External"/><Relationship Id="rId31" Type="http://schemas.openxmlformats.org/officeDocument/2006/relationships/hyperlink" Target="https://www.instagram.com/favela_all_day_bar_restaurant/" TargetMode="External"/><Relationship Id="rId32" Type="http://schemas.openxmlformats.org/officeDocument/2006/relationships/hyperlink" Target="https://ig.me/m/favela_all_day_bar_restaurant" TargetMode="External"/><Relationship Id="rId33" Type="http://schemas.openxmlformats.org/officeDocument/2006/relationships/hyperlink" Target="https://www.instagram.com/flavour.athens/" TargetMode="External"/><Relationship Id="rId34" Type="http://schemas.openxmlformats.org/officeDocument/2006/relationships/hyperlink" Target="https://ig.me/m/flavour.athens" TargetMode="External"/><Relationship Id="rId35" Type="http://schemas.openxmlformats.org/officeDocument/2006/relationships/hyperlink" Target="https://www.instagram.com/gcafebar/" TargetMode="External"/><Relationship Id="rId36" Type="http://schemas.openxmlformats.org/officeDocument/2006/relationships/hyperlink" Target="https://ig.me/m/gcafebar" TargetMode="External"/><Relationship Id="rId37" Type="http://schemas.openxmlformats.org/officeDocument/2006/relationships/hyperlink" Target="https://www.instagram.com/genesis.athens/" TargetMode="External"/><Relationship Id="rId38" Type="http://schemas.openxmlformats.org/officeDocument/2006/relationships/hyperlink" Target="https://ig.me/m/genesis.athens" TargetMode="External"/><Relationship Id="rId39" Type="http://schemas.openxmlformats.org/officeDocument/2006/relationships/hyperlink" Target="https://www.instagram.com/huus_fokionos/" TargetMode="External"/><Relationship Id="rId40" Type="http://schemas.openxmlformats.org/officeDocument/2006/relationships/hyperlink" Target="https://ig.me/m/huus_fokionos" TargetMode="External"/><Relationship Id="rId41" Type="http://schemas.openxmlformats.org/officeDocument/2006/relationships/hyperlink" Target="https://www.instagram.com/icafebar/" TargetMode="External"/><Relationship Id="rId42" Type="http://schemas.openxmlformats.org/officeDocument/2006/relationships/hyperlink" Target="https://ig.me/m/icafebar" TargetMode="External"/><Relationship Id="rId43" Type="http://schemas.openxmlformats.org/officeDocument/2006/relationships/hyperlink" Target="https://www.instagram.com/jojoperisteri/" TargetMode="External"/><Relationship Id="rId44" Type="http://schemas.openxmlformats.org/officeDocument/2006/relationships/hyperlink" Target="https://ig.me/m/jojoperisteri" TargetMode="External"/><Relationship Id="rId45" Type="http://schemas.openxmlformats.org/officeDocument/2006/relationships/hyperlink" Target="https://www.instagram.com/kalimeres.bistro/" TargetMode="External"/><Relationship Id="rId46" Type="http://schemas.openxmlformats.org/officeDocument/2006/relationships/hyperlink" Target="https://ig.me/m/kalimeres.bistro" TargetMode="External"/><Relationship Id="rId47" Type="http://schemas.openxmlformats.org/officeDocument/2006/relationships/hyperlink" Target="https://www.instagram.com/korne.gr/" TargetMode="External"/><Relationship Id="rId48" Type="http://schemas.openxmlformats.org/officeDocument/2006/relationships/hyperlink" Target="https://ig.me/m/korne.gr" TargetMode="External"/><Relationship Id="rId49" Type="http://schemas.openxmlformats.org/officeDocument/2006/relationships/hyperlink" Target="https://www.instagram.com/kupato_official/" TargetMode="External"/><Relationship Id="rId50" Type="http://schemas.openxmlformats.org/officeDocument/2006/relationships/hyperlink" Target="https://ig.me/m/kupato_official" TargetMode="External"/><Relationship Id="rId51" Type="http://schemas.openxmlformats.org/officeDocument/2006/relationships/hyperlink" Target="https://www.instagram.com/level.up.marousi/" TargetMode="External"/><Relationship Id="rId52" Type="http://schemas.openxmlformats.org/officeDocument/2006/relationships/hyperlink" Target="https://ig.me/m/level.up.marousi" TargetMode="External"/><Relationship Id="rId53" Type="http://schemas.openxmlformats.org/officeDocument/2006/relationships/hyperlink" Target="https://www.instagram.com/liberty_cafebar/" TargetMode="External"/><Relationship Id="rId54" Type="http://schemas.openxmlformats.org/officeDocument/2006/relationships/hyperlink" Target="https://ig.me/m/liberty_cafebar" TargetMode="External"/><Relationship Id="rId55" Type="http://schemas.openxmlformats.org/officeDocument/2006/relationships/hyperlink" Target="https://www.instagram.com/local_cafebar/" TargetMode="External"/><Relationship Id="rId56" Type="http://schemas.openxmlformats.org/officeDocument/2006/relationships/hyperlink" Target="https://ig.me/m/local_cafebar" TargetMode="External"/><Relationship Id="rId57" Type="http://schemas.openxmlformats.org/officeDocument/2006/relationships/hyperlink" Target="https://www.instagram.com/lolacafebar/" TargetMode="External"/><Relationship Id="rId58" Type="http://schemas.openxmlformats.org/officeDocument/2006/relationships/hyperlink" Target="https://ig.me/m/lolacafebar" TargetMode="External"/><Relationship Id="rId59" Type="http://schemas.openxmlformats.org/officeDocument/2006/relationships/hyperlink" Target="https://www.instagram.com/madeiraathens/" TargetMode="External"/><Relationship Id="rId60" Type="http://schemas.openxmlformats.org/officeDocument/2006/relationships/hyperlink" Target="https://ig.me/m/madeiraathens" TargetMode="External"/><Relationship Id="rId61" Type="http://schemas.openxmlformats.org/officeDocument/2006/relationships/hyperlink" Target="https://www.instagram.com/medezcafe/" TargetMode="External"/><Relationship Id="rId62" Type="http://schemas.openxmlformats.org/officeDocument/2006/relationships/hyperlink" Target="https://ig.me/m/medezcafe" TargetMode="External"/><Relationship Id="rId63" Type="http://schemas.openxmlformats.org/officeDocument/2006/relationships/hyperlink" Target="https://www.instagram.com/menta_cafe_kifisia/" TargetMode="External"/><Relationship Id="rId64" Type="http://schemas.openxmlformats.org/officeDocument/2006/relationships/hyperlink" Target="https://ig.me/m/menta_cafe_kifisia" TargetMode="External"/><Relationship Id="rId65" Type="http://schemas.openxmlformats.org/officeDocument/2006/relationships/hyperlink" Target="https://www.instagram.com/mokkacoffee.athens/" TargetMode="External"/><Relationship Id="rId66" Type="http://schemas.openxmlformats.org/officeDocument/2006/relationships/hyperlink" Target="https://ig.me/m/mokkacoffee.athens" TargetMode="External"/><Relationship Id="rId67" Type="http://schemas.openxmlformats.org/officeDocument/2006/relationships/hyperlink" Target="https://www.instagram.com/morningbar.athens/" TargetMode="External"/><Relationship Id="rId68" Type="http://schemas.openxmlformats.org/officeDocument/2006/relationships/hyperlink" Target="https://ig.me/m/morningbar.athens" TargetMode="External"/><Relationship Id="rId69" Type="http://schemas.openxmlformats.org/officeDocument/2006/relationships/hyperlink" Target="https://www.instagram.com/neratzia.gr/" TargetMode="External"/><Relationship Id="rId70" Type="http://schemas.openxmlformats.org/officeDocument/2006/relationships/hyperlink" Target="https://ig.me/m/neratzia.gr" TargetMode="External"/><Relationship Id="rId71" Type="http://schemas.openxmlformats.org/officeDocument/2006/relationships/hyperlink" Target="https://www.instagram.com/num_veaki/" TargetMode="External"/><Relationship Id="rId72" Type="http://schemas.openxmlformats.org/officeDocument/2006/relationships/hyperlink" Target="https://ig.me/m/num_veaki" TargetMode="External"/><Relationship Id="rId73" Type="http://schemas.openxmlformats.org/officeDocument/2006/relationships/hyperlink" Target="https://www.instagram.com/oubi.athens/" TargetMode="External"/><Relationship Id="rId74" Type="http://schemas.openxmlformats.org/officeDocument/2006/relationships/hyperlink" Target="https://ig.me/m/oubi.athens" TargetMode="External"/><Relationship Id="rId75" Type="http://schemas.openxmlformats.org/officeDocument/2006/relationships/hyperlink" Target="https://www.instagram.com/pere_ubu_glyfada/" TargetMode="External"/><Relationship Id="rId76" Type="http://schemas.openxmlformats.org/officeDocument/2006/relationships/hyperlink" Target="https://ig.me/m/pere_ubu_glyfada" TargetMode="External"/><Relationship Id="rId77" Type="http://schemas.openxmlformats.org/officeDocument/2006/relationships/hyperlink" Target="https://www.instagram.com/pit_kolonaki/" TargetMode="External"/><Relationship Id="rId78" Type="http://schemas.openxmlformats.org/officeDocument/2006/relationships/hyperlink" Target="https://ig.me/m/pit_kolonaki" TargetMode="External"/><Relationship Id="rId79" Type="http://schemas.openxmlformats.org/officeDocument/2006/relationships/hyperlink" Target="https://www.instagram.com/peros_kolonaki/" TargetMode="External"/><Relationship Id="rId80" Type="http://schemas.openxmlformats.org/officeDocument/2006/relationships/hyperlink" Target="https://ig.me/m/peros_kolonaki" TargetMode="External"/><Relationship Id="rId81" Type="http://schemas.openxmlformats.org/officeDocument/2006/relationships/hyperlink" Target="https://www.instagram.com/routina_glyfada/" TargetMode="External"/><Relationship Id="rId82" Type="http://schemas.openxmlformats.org/officeDocument/2006/relationships/hyperlink" Target="https://ig.me/m/routina_glyfada" TargetMode="External"/><Relationship Id="rId83" Type="http://schemas.openxmlformats.org/officeDocument/2006/relationships/hyperlink" Target="https://www.instagram.com/sinfultastemarousi/" TargetMode="External"/><Relationship Id="rId84" Type="http://schemas.openxmlformats.org/officeDocument/2006/relationships/hyperlink" Target="https://ig.me/m/sinfultastemarousi" TargetMode="External"/><Relationship Id="rId85" Type="http://schemas.openxmlformats.org/officeDocument/2006/relationships/hyperlink" Target="https://www.instagram.com/treehouse_cafe_peristeri/" TargetMode="External"/><Relationship Id="rId86" Type="http://schemas.openxmlformats.org/officeDocument/2006/relationships/hyperlink" Target="https://ig.me/m/treehouse_cafe_peristeri" TargetMode="External"/><Relationship Id="rId87" Type="http://schemas.openxmlformats.org/officeDocument/2006/relationships/hyperlink" Target="https://www.instagram.com/usurum_psyri/" TargetMode="External"/><Relationship Id="rId88" Type="http://schemas.openxmlformats.org/officeDocument/2006/relationships/hyperlink" Target="https://ig.me/m/usurum_psyri" TargetMode="External"/><Relationship Id="rId89" Type="http://schemas.openxmlformats.org/officeDocument/2006/relationships/hyperlink" Target="https://www.instagram.com/vs_project_cafe/" TargetMode="External"/><Relationship Id="rId90" Type="http://schemas.openxmlformats.org/officeDocument/2006/relationships/hyperlink" Target="https://ig.me/m/vs_project_cafe" TargetMode="External"/><Relationship Id="rId91" Type="http://schemas.openxmlformats.org/officeDocument/2006/relationships/hyperlink" Target="https://www.instagram.com/white_bear_cafebar/" TargetMode="External"/><Relationship Id="rId92" Type="http://schemas.openxmlformats.org/officeDocument/2006/relationships/hyperlink" Target="https://ig.me/m/white_bear_cafebar" TargetMode="External"/><Relationship Id="rId93" Type="http://schemas.openxmlformats.org/officeDocument/2006/relationships/hyperlink" Target="https://www.instagram.com/akricafekallithea_/" TargetMode="External"/><Relationship Id="rId94" Type="http://schemas.openxmlformats.org/officeDocument/2006/relationships/hyperlink" Target="https://ig.me/m/akricafekallithea_" TargetMode="External"/><Relationship Id="rId95" Type="http://schemas.openxmlformats.org/officeDocument/2006/relationships/hyperlink" Target="https://www.instagram.com/amarisia_coffeesnack/" TargetMode="External"/><Relationship Id="rId96" Type="http://schemas.openxmlformats.org/officeDocument/2006/relationships/hyperlink" Target="https://ig.me/m/amarisia_coffeesnack" TargetMode="External"/><Relationship Id="rId97" Type="http://schemas.openxmlformats.org/officeDocument/2006/relationships/hyperlink" Target="https://www.instagram.com/anakata_kafeneio_cooperativa/" TargetMode="External"/><Relationship Id="rId98" Type="http://schemas.openxmlformats.org/officeDocument/2006/relationships/hyperlink" Target="https://ig.me/m/anakata_kafeneio_cooperativa" TargetMode="External"/><Relationship Id="rId99" Type="http://schemas.openxmlformats.org/officeDocument/2006/relationships/hyperlink" Target="https://www.instagram.com/valitsa80/" TargetMode="External"/><Relationship Id="rId100" Type="http://schemas.openxmlformats.org/officeDocument/2006/relationships/hyperlink" Target="https://ig.me/m/valitsa80" TargetMode="External"/><Relationship Id="rId101" Type="http://schemas.openxmlformats.org/officeDocument/2006/relationships/hyperlink" Target="https://www.instagram.com/varnavacafe/" TargetMode="External"/><Relationship Id="rId102" Type="http://schemas.openxmlformats.org/officeDocument/2006/relationships/hyperlink" Target="https://ig.me/m/varnavacafe" TargetMode="External"/><Relationship Id="rId103" Type="http://schemas.openxmlformats.org/officeDocument/2006/relationships/hyperlink" Target="https://www.instagram.com/dentro_voula/" TargetMode="External"/><Relationship Id="rId104" Type="http://schemas.openxmlformats.org/officeDocument/2006/relationships/hyperlink" Target="https://ig.me/m/dentro_voula" TargetMode="External"/><Relationship Id="rId105" Type="http://schemas.openxmlformats.org/officeDocument/2006/relationships/hyperlink" Target="https://www.instagram.com/edem_cafe_restaurant/" TargetMode="External"/><Relationship Id="rId106" Type="http://schemas.openxmlformats.org/officeDocument/2006/relationships/hyperlink" Target="https://ig.me/m/edem_cafe_restaurant" TargetMode="External"/><Relationship Id="rId107" Type="http://schemas.openxmlformats.org/officeDocument/2006/relationships/hyperlink" Target="https://www.instagram.com/h_skopa/" TargetMode="External"/><Relationship Id="rId108" Type="http://schemas.openxmlformats.org/officeDocument/2006/relationships/hyperlink" Target="https://ig.me/m/h_skopa" TargetMode="External"/><Relationship Id="rId109" Type="http://schemas.openxmlformats.org/officeDocument/2006/relationships/hyperlink" Target="https://www.instagram.com/cafexara/" TargetMode="External"/><Relationship Id="rId110" Type="http://schemas.openxmlformats.org/officeDocument/2006/relationships/hyperlink" Target="https://ig.me/m/cafexara" TargetMode="External"/><Relationship Id="rId111" Type="http://schemas.openxmlformats.org/officeDocument/2006/relationships/hyperlink" Target="https://www.instagram.com/crema.cafe.gr/" TargetMode="External"/><Relationship Id="rId112" Type="http://schemas.openxmlformats.org/officeDocument/2006/relationships/hyperlink" Target="https://ig.me/m/crema.cafe.gr" TargetMode="External"/><Relationship Id="rId113" Type="http://schemas.openxmlformats.org/officeDocument/2006/relationships/hyperlink" Target="https://www.instagram.com/louis.kafeneio/" TargetMode="External"/><Relationship Id="rId114" Type="http://schemas.openxmlformats.org/officeDocument/2006/relationships/hyperlink" Target="https://ig.me/m/louis.kafeneio" TargetMode="External"/><Relationship Id="rId115" Type="http://schemas.openxmlformats.org/officeDocument/2006/relationships/hyperlink" Target="https://www.instagram.com/lemonokipos_neafiladelfeia/" TargetMode="External"/><Relationship Id="rId116" Type="http://schemas.openxmlformats.org/officeDocument/2006/relationships/hyperlink" Target="https://ig.me/m/lemonokipos_neafiladelfeia" TargetMode="External"/><Relationship Id="rId117" Type="http://schemas.openxmlformats.org/officeDocument/2006/relationships/hyperlink" Target="https://www.instagram.com/ouan_pfaliro/" TargetMode="External"/><Relationship Id="rId118" Type="http://schemas.openxmlformats.org/officeDocument/2006/relationships/hyperlink" Target="https://ig.me/m/ouan_pfaliro" TargetMode="External"/><Relationship Id="rId119" Type="http://schemas.openxmlformats.org/officeDocument/2006/relationships/hyperlink" Target="https://www.instagram.com/paliaagora/" TargetMode="External"/><Relationship Id="rId120" Type="http://schemas.openxmlformats.org/officeDocument/2006/relationships/hyperlink" Target="https://ig.me/m/paliaagora" TargetMode="External"/><Relationship Id="rId121" Type="http://schemas.openxmlformats.org/officeDocument/2006/relationships/hyperlink" Target="https://www.instagram.com/paramythimecafe/" TargetMode="External"/><Relationship Id="rId122" Type="http://schemas.openxmlformats.org/officeDocument/2006/relationships/hyperlink" Target="https://ig.me/m/paramythimecafe" TargetMode="External"/><Relationship Id="rId123" Type="http://schemas.openxmlformats.org/officeDocument/2006/relationships/hyperlink" Target="https://www.instagram.com/to.bar.athens/" TargetMode="External"/><Relationship Id="rId124" Type="http://schemas.openxmlformats.org/officeDocument/2006/relationships/hyperlink" Target="https://ig.me/m/to.bar.athens" TargetMode="External"/><Relationship Id="rId125" Type="http://schemas.openxmlformats.org/officeDocument/2006/relationships/hyperlink" Target="https://www.instagram.com/flaros.ath/" TargetMode="External"/><Relationship Id="rId126" Type="http://schemas.openxmlformats.org/officeDocument/2006/relationships/hyperlink" Target="https://ig.me/m/flaros.ath" TargetMode="External"/><Relationship Id="rId127" Type="http://schemas.openxmlformats.org/officeDocument/2006/relationships/hyperlink" Target="https://www.instagram.com/amante.athens/" TargetMode="External"/><Relationship Id="rId128" Type="http://schemas.openxmlformats.org/officeDocument/2006/relationships/hyperlink" Target="https://ig.me/m/amante.athens" TargetMode="External"/><Relationship Id="rId129" Type="http://schemas.openxmlformats.org/officeDocument/2006/relationships/hyperlink" Target="https://www.instagram.com/big_bar_athens/" TargetMode="External"/><Relationship Id="rId130" Type="http://schemas.openxmlformats.org/officeDocument/2006/relationships/hyperlink" Target="https://ig.me/m/big_bar_athens" TargetMode="External"/><Relationship Id="rId131" Type="http://schemas.openxmlformats.org/officeDocument/2006/relationships/hyperlink" Target="https://www.instagram.com/forte.kolonaki/" TargetMode="External"/><Relationship Id="rId132" Type="http://schemas.openxmlformats.org/officeDocument/2006/relationships/hyperlink" Target="https://ig.me/m/forte.kolonaki" TargetMode="External"/><Relationship Id="rId133" Type="http://schemas.openxmlformats.org/officeDocument/2006/relationships/hyperlink" Target="https://www.instagram.com/gazi_view/" TargetMode="External"/><Relationship Id="rId134" Type="http://schemas.openxmlformats.org/officeDocument/2006/relationships/hyperlink" Target="https://ig.me/m/gazi_view" TargetMode="External"/><Relationship Id="rId135" Type="http://schemas.openxmlformats.org/officeDocument/2006/relationships/hyperlink" Target="https://www.instagram.com/glasshouse.marousi/" TargetMode="External"/><Relationship Id="rId136" Type="http://schemas.openxmlformats.org/officeDocument/2006/relationships/hyperlink" Target="https://ig.me/m/glasshouse.marousi" TargetMode="External"/><Relationship Id="rId137" Type="http://schemas.openxmlformats.org/officeDocument/2006/relationships/hyperlink" Target="https://www.instagram.com/hankypankyath/" TargetMode="External"/><Relationship Id="rId138" Type="http://schemas.openxmlformats.org/officeDocument/2006/relationships/hyperlink" Target="https://ig.me/m/hankypankyath" TargetMode="External"/><Relationship Id="rId139" Type="http://schemas.openxmlformats.org/officeDocument/2006/relationships/hyperlink" Target="https://www.instagram.com/naval.mikrolimano/" TargetMode="External"/><Relationship Id="rId140" Type="http://schemas.openxmlformats.org/officeDocument/2006/relationships/hyperlink" Target="https://ig.me/m/naval.mikrolimano" TargetMode="External"/><Relationship Id="rId141" Type="http://schemas.openxmlformats.org/officeDocument/2006/relationships/hyperlink" Target="https://www.instagram.com/nonnas.athens/" TargetMode="External"/><Relationship Id="rId142" Type="http://schemas.openxmlformats.org/officeDocument/2006/relationships/hyperlink" Target="https://ig.me/m/nonnas.athens" TargetMode="External"/><Relationship Id="rId143" Type="http://schemas.openxmlformats.org/officeDocument/2006/relationships/hyperlink" Target="https://www.instagram.com/ola_ellinika_gazi/" TargetMode="External"/><Relationship Id="rId144" Type="http://schemas.openxmlformats.org/officeDocument/2006/relationships/hyperlink" Target="https://ig.me/m/ola_ellinika_gazi" TargetMode="External"/><Relationship Id="rId145" Type="http://schemas.openxmlformats.org/officeDocument/2006/relationships/hyperlink" Target="https://www.instagram.com/street_souvlaki/" TargetMode="External"/><Relationship Id="rId146" Type="http://schemas.openxmlformats.org/officeDocument/2006/relationships/hyperlink" Target="https://ig.me/m/street_souvlaki" TargetMode="External"/><Relationship Id="rId147" Type="http://schemas.openxmlformats.org/officeDocument/2006/relationships/hyperlink" Target="https://www.instagram.com/gitema_neasmirni/" TargetMode="External"/><Relationship Id="rId148" Type="http://schemas.openxmlformats.org/officeDocument/2006/relationships/hyperlink" Target="https://ig.me/m/gitema_neasmirni" TargetMode="External"/><Relationship Id="rId149" Type="http://schemas.openxmlformats.org/officeDocument/2006/relationships/hyperlink" Target="https://www.instagram.com/en_aithria_filadelfeia/" TargetMode="External"/><Relationship Id="rId150" Type="http://schemas.openxmlformats.org/officeDocument/2006/relationships/hyperlink" Target="https://ig.me/m/en_aithria_filadelfeia" TargetMode="External"/><Relationship Id="rId151" Type="http://schemas.openxmlformats.org/officeDocument/2006/relationships/hyperlink" Target="https://www.instagram.com/h_polh/" TargetMode="External"/><Relationship Id="rId152" Type="http://schemas.openxmlformats.org/officeDocument/2006/relationships/hyperlink" Target="https://ig.me/m/h_polh" TargetMode="External"/><Relationship Id="rId153" Type="http://schemas.openxmlformats.org/officeDocument/2006/relationships/hyperlink" Target="https://www.instagram.com/kapani.athens/" TargetMode="External"/><Relationship Id="rId154" Type="http://schemas.openxmlformats.org/officeDocument/2006/relationships/hyperlink" Target="https://ig.me/m/kapani.athens" TargetMode="External"/><Relationship Id="rId155" Type="http://schemas.openxmlformats.org/officeDocument/2006/relationships/hyperlink" Target="https://www.instagram.com/karderina_petralona/" TargetMode="External"/><Relationship Id="rId156" Type="http://schemas.openxmlformats.org/officeDocument/2006/relationships/hyperlink" Target="https://ig.me/m/karderina_petralona" TargetMode="External"/><Relationship Id="rId157" Type="http://schemas.openxmlformats.org/officeDocument/2006/relationships/hyperlink" Target="https://www.instagram.com/koutourou_mezetzidikon/" TargetMode="External"/><Relationship Id="rId158" Type="http://schemas.openxmlformats.org/officeDocument/2006/relationships/hyperlink" Target="https://ig.me/m/koutourou_mezetzidikon" TargetMode="External"/><Relationship Id="rId159" Type="http://schemas.openxmlformats.org/officeDocument/2006/relationships/hyperlink" Target="https://www.instagram.com/melisses_mezedopoleio/" TargetMode="External"/><Relationship Id="rId160" Type="http://schemas.openxmlformats.org/officeDocument/2006/relationships/hyperlink" Target="https://ig.me/m/melisses_mezedopoleio" TargetMode="External"/><Relationship Id="rId161" Type="http://schemas.openxmlformats.org/officeDocument/2006/relationships/hyperlink" Target="https://www.instagram.com/mikrasiatiko_mezedopoleio/" TargetMode="External"/><Relationship Id="rId162" Type="http://schemas.openxmlformats.org/officeDocument/2006/relationships/hyperlink" Target="https://ig.me/m/mikrasiatiko_mezedopoleio" TargetMode="External"/><Relationship Id="rId163" Type="http://schemas.openxmlformats.org/officeDocument/2006/relationships/hyperlink" Target="https://www.instagram.com/mpar_mpee_kiou/" TargetMode="External"/><Relationship Id="rId164" Type="http://schemas.openxmlformats.org/officeDocument/2006/relationships/hyperlink" Target="https://ig.me/m/mpar_mpee_kiou" TargetMode="External"/><Relationship Id="rId165" Type="http://schemas.openxmlformats.org/officeDocument/2006/relationships/hyperlink" Target="https://www.instagram.com/bairaktarismonastiraki/" TargetMode="External"/><Relationship Id="rId166" Type="http://schemas.openxmlformats.org/officeDocument/2006/relationships/hyperlink" Target="https://ig.me/m/bairaktarismonastiraki" TargetMode="External"/><Relationship Id="rId167" Type="http://schemas.openxmlformats.org/officeDocument/2006/relationships/hyperlink" Target="https://www.instagram.com/mproulis_metaxourgeio/" TargetMode="External"/><Relationship Id="rId168" Type="http://schemas.openxmlformats.org/officeDocument/2006/relationships/hyperlink" Target="https://ig.me/m/mproulis_metaxourgeio" TargetMode="External"/><Relationship Id="rId169" Type="http://schemas.openxmlformats.org/officeDocument/2006/relationships/hyperlink" Target="https://www.instagram.com/myrovolos_metaxourgeio/" TargetMode="External"/><Relationship Id="rId170" Type="http://schemas.openxmlformats.org/officeDocument/2006/relationships/hyperlink" Target="https://ig.me/m/myrovolos_metaxourgeio" TargetMode="External"/><Relationship Id="rId171" Type="http://schemas.openxmlformats.org/officeDocument/2006/relationships/hyperlink" Target="https://www.instagram.com/ntemek/" TargetMode="External"/><Relationship Id="rId172" Type="http://schemas.openxmlformats.org/officeDocument/2006/relationships/hyperlink" Target="https://ig.me/m/ntemek" TargetMode="External"/><Relationship Id="rId173" Type="http://schemas.openxmlformats.org/officeDocument/2006/relationships/hyperlink" Target="https://www.instagram.com/o_allos_bar/" TargetMode="External"/><Relationship Id="rId174" Type="http://schemas.openxmlformats.org/officeDocument/2006/relationships/hyperlink" Target="https://ig.me/m/o_allos_bar" TargetMode="External"/><Relationship Id="rId175" Type="http://schemas.openxmlformats.org/officeDocument/2006/relationships/hyperlink" Target="https://www.instagram.com/enoikosbar/" TargetMode="External"/><Relationship Id="rId176" Type="http://schemas.openxmlformats.org/officeDocument/2006/relationships/hyperlink" Target="https://ig.me/m/enoikosbar" TargetMode="External"/><Relationship Id="rId177" Type="http://schemas.openxmlformats.org/officeDocument/2006/relationships/hyperlink" Target="https://www.instagram.com/ouzeriapopsis/" TargetMode="External"/><Relationship Id="rId178" Type="http://schemas.openxmlformats.org/officeDocument/2006/relationships/hyperlink" Target="https://ig.me/m/ouzeriapopsis" TargetMode="External"/><Relationship Id="rId179" Type="http://schemas.openxmlformats.org/officeDocument/2006/relationships/hyperlink" Target="https://www.instagram.com/pametsipouro_fokionos_official/" TargetMode="External"/><Relationship Id="rId180" Type="http://schemas.openxmlformats.org/officeDocument/2006/relationships/hyperlink" Target="https://ig.me/m/pametsipouro_fokionos_official" TargetMode="External"/><Relationship Id="rId181" Type="http://schemas.openxmlformats.org/officeDocument/2006/relationships/hyperlink" Target="https://www.instagram.com/gyrovoliesofficial/" TargetMode="External"/><Relationship Id="rId182" Type="http://schemas.openxmlformats.org/officeDocument/2006/relationships/hyperlink" Target="https://ig.me/m/gyrovoliesofficial" TargetMode="External"/><Relationship Id="rId183" Type="http://schemas.openxmlformats.org/officeDocument/2006/relationships/hyperlink" Target="https://www.instagram.com/stis5gires.gr/" TargetMode="External"/><Relationship Id="rId184" Type="http://schemas.openxmlformats.org/officeDocument/2006/relationships/hyperlink" Target="https://ig.me/m/stis5gires.gr" TargetMode="External"/><Relationship Id="rId185" Type="http://schemas.openxmlformats.org/officeDocument/2006/relationships/hyperlink" Target="https://www.instagram.com/taverna_thea20/" TargetMode="External"/><Relationship Id="rId186" Type="http://schemas.openxmlformats.org/officeDocument/2006/relationships/hyperlink" Target="https://ig.me/m/taverna_thea20" TargetMode="External"/><Relationship Id="rId187" Type="http://schemas.openxmlformats.org/officeDocument/2006/relationships/hyperlink" Target="https://www.instagram.com/taverna.oikonomou/" TargetMode="External"/><Relationship Id="rId188" Type="http://schemas.openxmlformats.org/officeDocument/2006/relationships/hyperlink" Target="https://ig.me/m/taverna.oikonomou" TargetMode="External"/><Relationship Id="rId189" Type="http://schemas.openxmlformats.org/officeDocument/2006/relationships/hyperlink" Target="https://www.instagram.com/tempesiri.mezedopwleio/" TargetMode="External"/><Relationship Id="rId190" Type="http://schemas.openxmlformats.org/officeDocument/2006/relationships/hyperlink" Target="https://ig.me/m/tempesiri.mezedopwleio" TargetMode="External"/><Relationship Id="rId191" Type="http://schemas.openxmlformats.org/officeDocument/2006/relationships/hyperlink" Target="https://www.instagram.com/tomikiopfaliro/" TargetMode="External"/><Relationship Id="rId192" Type="http://schemas.openxmlformats.org/officeDocument/2006/relationships/hyperlink" Target="https://ig.me/m/tomikiopfaliro" TargetMode="External"/><Relationship Id="rId193" Type="http://schemas.openxmlformats.org/officeDocument/2006/relationships/hyperlink" Target="https://www.instagram.com/tosouvlakitissarri/" TargetMode="External"/><Relationship Id="rId194" Type="http://schemas.openxmlformats.org/officeDocument/2006/relationships/hyperlink" Target="https://ig.me/m/tosouvlakitissarri" TargetMode="External"/><Relationship Id="rId195" Type="http://schemas.openxmlformats.org/officeDocument/2006/relationships/hyperlink" Target="https://www.instagram.com/baratokallithea/" TargetMode="External"/><Relationship Id="rId196" Type="http://schemas.openxmlformats.org/officeDocument/2006/relationships/hyperlink" Target="https://ig.me/m/baratokallithea" TargetMode="External"/><Relationship Id="rId197" Type="http://schemas.openxmlformats.org/officeDocument/2006/relationships/hyperlink" Target="https://www.instagram.com/blysscafe_kallithea/" TargetMode="External"/><Relationship Id="rId198" Type="http://schemas.openxmlformats.org/officeDocument/2006/relationships/hyperlink" Target="https://ig.me/m/blysscafe_kallithea" TargetMode="External"/><Relationship Id="rId199" Type="http://schemas.openxmlformats.org/officeDocument/2006/relationships/hyperlink" Target="https://www.instagram.com/bourbonspecialtycoffees/" TargetMode="External"/><Relationship Id="rId200" Type="http://schemas.openxmlformats.org/officeDocument/2006/relationships/hyperlink" Target="https://ig.me/m/bourbonspecialtycoffees" TargetMode="External"/><Relationship Id="rId201" Type="http://schemas.openxmlformats.org/officeDocument/2006/relationships/hyperlink" Target="https://www.instagram.com/cultivosneasmyrni/" TargetMode="External"/><Relationship Id="rId202" Type="http://schemas.openxmlformats.org/officeDocument/2006/relationships/hyperlink" Target="https://ig.me/m/cultivosneasmyrni" TargetMode="External"/><Relationship Id="rId203" Type="http://schemas.openxmlformats.org/officeDocument/2006/relationships/hyperlink" Target="https://www.instagram.com/cultivoscoffeekallithea/" TargetMode="External"/><Relationship Id="rId204" Type="http://schemas.openxmlformats.org/officeDocument/2006/relationships/hyperlink" Target="https://ig.me/m/cultivoscoffeekallithea" TargetMode="External"/><Relationship Id="rId205" Type="http://schemas.openxmlformats.org/officeDocument/2006/relationships/hyperlink" Target="https://www.instagram.com/il_toto_metaxourgeio/" TargetMode="External"/><Relationship Id="rId206" Type="http://schemas.openxmlformats.org/officeDocument/2006/relationships/hyperlink" Target="https://ig.me/m/il_toto_metaxourgeio" TargetMode="External"/><Relationship Id="rId207" Type="http://schemas.openxmlformats.org/officeDocument/2006/relationships/hyperlink" Target="https://www.instagram.com/il_toto_tzon_kennenty105/" TargetMode="External"/><Relationship Id="rId208" Type="http://schemas.openxmlformats.org/officeDocument/2006/relationships/hyperlink" Target="https://ig.me/m/il_toto_tzon_kennenty105" TargetMode="External"/><Relationship Id="rId209" Type="http://schemas.openxmlformats.org/officeDocument/2006/relationships/hyperlink" Target="https://www.instagram.com/kapu.kypseli/" TargetMode="External"/><Relationship Id="rId210" Type="http://schemas.openxmlformats.org/officeDocument/2006/relationships/hyperlink" Target="https://ig.me/m/kapu.kypseli" TargetMode="External"/><Relationship Id="rId211" Type="http://schemas.openxmlformats.org/officeDocument/2006/relationships/hyperlink" Target="https://www.instagram.com/overdose_coffee_and_more/" TargetMode="External"/><Relationship Id="rId212" Type="http://schemas.openxmlformats.org/officeDocument/2006/relationships/hyperlink" Target="https://ig.me/m/overdose_coffee_and_more" TargetMode="External"/><Relationship Id="rId213" Type="http://schemas.openxmlformats.org/officeDocument/2006/relationships/hyperlink" Target="https://www.instagram.com/9_marketcafe/" TargetMode="External"/><Relationship Id="rId214" Type="http://schemas.openxmlformats.org/officeDocument/2006/relationships/hyperlink" Target="https://ig.me/m/9_marketcafe" TargetMode="External"/><Relationship Id="rId215" Type="http://schemas.openxmlformats.org/officeDocument/2006/relationships/hyperlink" Target="https://www.instagram.com/alanacoffeebar/" TargetMode="External"/><Relationship Id="rId216" Type="http://schemas.openxmlformats.org/officeDocument/2006/relationships/hyperlink" Target="https://ig.me/m/alanacoffeebar" TargetMode="External"/><Relationship Id="rId217" Type="http://schemas.openxmlformats.org/officeDocument/2006/relationships/hyperlink" Target="https://www.instagram.com/allegro_bar_restaurant/" TargetMode="External"/><Relationship Id="rId218" Type="http://schemas.openxmlformats.org/officeDocument/2006/relationships/hyperlink" Target="https://ig.me/m/allegro_bar_restaurant" TargetMode="External"/><Relationship Id="rId219" Type="http://schemas.openxmlformats.org/officeDocument/2006/relationships/hyperlink" Target="https://www.instagram.com/anatolikon.gastrobar/" TargetMode="External"/><Relationship Id="rId220" Type="http://schemas.openxmlformats.org/officeDocument/2006/relationships/hyperlink" Target="https://ig.me/m/anatolikon.gastrobar" TargetMode="External"/><Relationship Id="rId221" Type="http://schemas.openxmlformats.org/officeDocument/2006/relationships/hyperlink" Target="https://www.instagram.com/bletastegallery/" TargetMode="External"/><Relationship Id="rId222" Type="http://schemas.openxmlformats.org/officeDocument/2006/relationships/hyperlink" Target="https://ig.me/m/bletastegallery" TargetMode="External"/><Relationship Id="rId223" Type="http://schemas.openxmlformats.org/officeDocument/2006/relationships/hyperlink" Target="https://www.instagram.com/bostonskg/" TargetMode="External"/><Relationship Id="rId224" Type="http://schemas.openxmlformats.org/officeDocument/2006/relationships/hyperlink" Target="https://ig.me/m/bostonskg" TargetMode="External"/><Relationship Id="rId225" Type="http://schemas.openxmlformats.org/officeDocument/2006/relationships/hyperlink" Target="https://www.instagram.com/bowie_house.skg/" TargetMode="External"/><Relationship Id="rId226" Type="http://schemas.openxmlformats.org/officeDocument/2006/relationships/hyperlink" Target="https://ig.me/m/bowie_house.skg" TargetMode="External"/><Relationship Id="rId227" Type="http://schemas.openxmlformats.org/officeDocument/2006/relationships/hyperlink" Target="https://www.instagram.com/brew_local/" TargetMode="External"/><Relationship Id="rId228" Type="http://schemas.openxmlformats.org/officeDocument/2006/relationships/hyperlink" Target="https://ig.me/m/brew_local" TargetMode="External"/><Relationship Id="rId229" Type="http://schemas.openxmlformats.org/officeDocument/2006/relationships/hyperlink" Target="https://www.instagram.com/brunchsin/" TargetMode="External"/><Relationship Id="rId230" Type="http://schemas.openxmlformats.org/officeDocument/2006/relationships/hyperlink" Target="https://ig.me/m/brunchsin" TargetMode="External"/><Relationship Id="rId231" Type="http://schemas.openxmlformats.org/officeDocument/2006/relationships/hyperlink" Target="https://www.instagram.com/floral.cafe/" TargetMode="External"/><Relationship Id="rId232" Type="http://schemas.openxmlformats.org/officeDocument/2006/relationships/hyperlink" Target="https://ig.me/m/floral.cafe" TargetMode="External"/><Relationship Id="rId233" Type="http://schemas.openxmlformats.org/officeDocument/2006/relationships/hyperlink" Target="https://www.instagram.com/cafe.bazaar.thessaloniki/" TargetMode="External"/><Relationship Id="rId234" Type="http://schemas.openxmlformats.org/officeDocument/2006/relationships/hyperlink" Target="https://ig.me/m/cafe.bazaar.thessaloniki" TargetMode="External"/><Relationship Id="rId235" Type="http://schemas.openxmlformats.org/officeDocument/2006/relationships/hyperlink" Target="https://www.instagram.com/cafesociete_/" TargetMode="External"/><Relationship Id="rId236" Type="http://schemas.openxmlformats.org/officeDocument/2006/relationships/hyperlink" Target="https://ig.me/m/cafesociete_" TargetMode="External"/><Relationship Id="rId237" Type="http://schemas.openxmlformats.org/officeDocument/2006/relationships/hyperlink" Target="https://www.instagram.com/cofficethessaloniki/" TargetMode="External"/><Relationship Id="rId238" Type="http://schemas.openxmlformats.org/officeDocument/2006/relationships/hyperlink" Target="https://ig.me/m/cofficethessaloniki" TargetMode="External"/><Relationship Id="rId239" Type="http://schemas.openxmlformats.org/officeDocument/2006/relationships/hyperlink" Target="https://www.instagram.com/cube_coffee_and_more/" TargetMode="External"/><Relationship Id="rId240" Type="http://schemas.openxmlformats.org/officeDocument/2006/relationships/hyperlink" Target="https://ig.me/m/cube_coffee_and_more" TargetMode="External"/><Relationship Id="rId241" Type="http://schemas.openxmlformats.org/officeDocument/2006/relationships/hyperlink" Target="https://www.instagram.com/fluffybrunch/" TargetMode="External"/><Relationship Id="rId242" Type="http://schemas.openxmlformats.org/officeDocument/2006/relationships/hyperlink" Target="https://ig.me/m/fluffybrunch" TargetMode="External"/><Relationship Id="rId243" Type="http://schemas.openxmlformats.org/officeDocument/2006/relationships/hyperlink" Target="https://www.instagram.com/garden_bar_53/" TargetMode="External"/><Relationship Id="rId244" Type="http://schemas.openxmlformats.org/officeDocument/2006/relationships/hyperlink" Target="https://ig.me/m/garden_bar_53" TargetMode="External"/><Relationship Id="rId245" Type="http://schemas.openxmlformats.org/officeDocument/2006/relationships/hyperlink" Target="https://www.instagram.com/kitchenbar_thessaloniki/" TargetMode="External"/><Relationship Id="rId246" Type="http://schemas.openxmlformats.org/officeDocument/2006/relationships/hyperlink" Target="https://ig.me/m/kitchenbar_thessaloniki" TargetMode="External"/><Relationship Id="rId247" Type="http://schemas.openxmlformats.org/officeDocument/2006/relationships/hyperlink" Target="https://www.instagram.com/lautre_cafe/" TargetMode="External"/><Relationship Id="rId248" Type="http://schemas.openxmlformats.org/officeDocument/2006/relationships/hyperlink" Target="https://ig.me/m/lautre_cafe" TargetMode="External"/><Relationship Id="rId249" Type="http://schemas.openxmlformats.org/officeDocument/2006/relationships/hyperlink" Target="https://www.instagram.com/lecoqtailmixbar/" TargetMode="External"/><Relationship Id="rId250" Type="http://schemas.openxmlformats.org/officeDocument/2006/relationships/hyperlink" Target="https://ig.me/m/lecoqtailmixbar" TargetMode="External"/><Relationship Id="rId251" Type="http://schemas.openxmlformats.org/officeDocument/2006/relationships/hyperlink" Target="https://www.instagram.com/localthessaloniki/" TargetMode="External"/><Relationship Id="rId252" Type="http://schemas.openxmlformats.org/officeDocument/2006/relationships/hyperlink" Target="https://ig.me/m/localthessaloniki" TargetMode="External"/><Relationship Id="rId253" Type="http://schemas.openxmlformats.org/officeDocument/2006/relationships/hyperlink" Target="https://www.instagram.com/lungo_skg/" TargetMode="External"/><Relationship Id="rId254" Type="http://schemas.openxmlformats.org/officeDocument/2006/relationships/hyperlink" Target="https://ig.me/m/lungo_skg" TargetMode="External"/><Relationship Id="rId255" Type="http://schemas.openxmlformats.org/officeDocument/2006/relationships/hyperlink" Target="https://www.instagram.com/napoleonthessaloniki/" TargetMode="External"/><Relationship Id="rId256" Type="http://schemas.openxmlformats.org/officeDocument/2006/relationships/hyperlink" Target="https://ig.me/m/napoleonthessaloniki" TargetMode="External"/><Relationship Id="rId257" Type="http://schemas.openxmlformats.org/officeDocument/2006/relationships/hyperlink" Target="https://www.instagram.com/niro.skg/" TargetMode="External"/><Relationship Id="rId258" Type="http://schemas.openxmlformats.org/officeDocument/2006/relationships/hyperlink" Target="https://ig.me/m/niro.skg" TargetMode="External"/><Relationship Id="rId259" Type="http://schemas.openxmlformats.org/officeDocument/2006/relationships/hyperlink" Target="https://www.instagram.com/oberonbar/" TargetMode="External"/><Relationship Id="rId260" Type="http://schemas.openxmlformats.org/officeDocument/2006/relationships/hyperlink" Target="https://ig.me/m/oberonbar" TargetMode="External"/><Relationship Id="rId261" Type="http://schemas.openxmlformats.org/officeDocument/2006/relationships/hyperlink" Target="https://www.instagram.com/pantheon.bar/" TargetMode="External"/><Relationship Id="rId262" Type="http://schemas.openxmlformats.org/officeDocument/2006/relationships/hyperlink" Target="https://ig.me/m/pantheon.bar" TargetMode="External"/><Relationship Id="rId263" Type="http://schemas.openxmlformats.org/officeDocument/2006/relationships/hyperlink" Target="https://www.instagram.com/cafe.prigipos/" TargetMode="External"/><Relationship Id="rId264" Type="http://schemas.openxmlformats.org/officeDocument/2006/relationships/hyperlink" Target="https://ig.me/m/cafe.prigipos" TargetMode="External"/><Relationship Id="rId265" Type="http://schemas.openxmlformats.org/officeDocument/2006/relationships/hyperlink" Target="https://www.instagram.com/sebil_skg/" TargetMode="External"/><Relationship Id="rId266" Type="http://schemas.openxmlformats.org/officeDocument/2006/relationships/hyperlink" Target="https://ig.me/m/sebil_skg" TargetMode="External"/><Relationship Id="rId267" Type="http://schemas.openxmlformats.org/officeDocument/2006/relationships/hyperlink" Target="https://www.instagram.com/sharkbarrestaurant/" TargetMode="External"/><Relationship Id="rId268" Type="http://schemas.openxmlformats.org/officeDocument/2006/relationships/hyperlink" Target="https://ig.me/m/sharkbarrestaurant" TargetMode="External"/><Relationship Id="rId269" Type="http://schemas.openxmlformats.org/officeDocument/2006/relationships/hyperlink" Target="https://www.instagram.com/shed._co/" TargetMode="External"/><Relationship Id="rId270" Type="http://schemas.openxmlformats.org/officeDocument/2006/relationships/hyperlink" Target="https://ig.me/m/shed._co" TargetMode="External"/><Relationship Id="rId271" Type="http://schemas.openxmlformats.org/officeDocument/2006/relationships/hyperlink" Target="https://www.instagram.com/skyline_cafe_bar/" TargetMode="External"/><Relationship Id="rId272" Type="http://schemas.openxmlformats.org/officeDocument/2006/relationships/hyperlink" Target="https://ig.me/m/skyline_cafe_bar" TargetMode="External"/><Relationship Id="rId273" Type="http://schemas.openxmlformats.org/officeDocument/2006/relationships/hyperlink" Target="https://www.instagram.com/stathmos.cafe/" TargetMode="External"/><Relationship Id="rId274" Type="http://schemas.openxmlformats.org/officeDocument/2006/relationships/hyperlink" Target="https://ig.me/m/stathmos.cafe" TargetMode="External"/><Relationship Id="rId275" Type="http://schemas.openxmlformats.org/officeDocument/2006/relationships/hyperlink" Target="https://www.instagram.com/sortiecoffee/" TargetMode="External"/><Relationship Id="rId276" Type="http://schemas.openxmlformats.org/officeDocument/2006/relationships/hyperlink" Target="https://ig.me/m/sortiecoffee" TargetMode="External"/><Relationship Id="rId277" Type="http://schemas.openxmlformats.org/officeDocument/2006/relationships/hyperlink" Target="https://www.instagram.com/thebarlabskg/" TargetMode="External"/><Relationship Id="rId278" Type="http://schemas.openxmlformats.org/officeDocument/2006/relationships/hyperlink" Target="https://ig.me/m/thebarlabskg" TargetMode="External"/><Relationship Id="rId279" Type="http://schemas.openxmlformats.org/officeDocument/2006/relationships/hyperlink" Target="https://www.instagram.com/villalunapanorama/" TargetMode="External"/><Relationship Id="rId280" Type="http://schemas.openxmlformats.org/officeDocument/2006/relationships/hyperlink" Target="https://ig.me/m/villalunapanorama" TargetMode="External"/><Relationship Id="rId281" Type="http://schemas.openxmlformats.org/officeDocument/2006/relationships/hyperlink" Target="https://www.instagram.com/astoria_skg/" TargetMode="External"/><Relationship Id="rId282" Type="http://schemas.openxmlformats.org/officeDocument/2006/relationships/hyperlink" Target="https://ig.me/m/astoria_skg" TargetMode="External"/><Relationship Id="rId283" Type="http://schemas.openxmlformats.org/officeDocument/2006/relationships/hyperlink" Target="https://www.instagram.com/therapeion/" TargetMode="External"/><Relationship Id="rId284" Type="http://schemas.openxmlformats.org/officeDocument/2006/relationships/hyperlink" Target="https://ig.me/m/therapeion" TargetMode="External"/><Relationship Id="rId285" Type="http://schemas.openxmlformats.org/officeDocument/2006/relationships/hyperlink" Target="https://www.instagram.com/sarothron_cafe_bar/" TargetMode="External"/><Relationship Id="rId286" Type="http://schemas.openxmlformats.org/officeDocument/2006/relationships/hyperlink" Target="https://ig.me/m/sarothron_cafe_bar" TargetMode="External"/><Relationship Id="rId287" Type="http://schemas.openxmlformats.org/officeDocument/2006/relationships/hyperlink" Target="https://www.instagram.com/kafeneionoermis/" TargetMode="External"/><Relationship Id="rId288" Type="http://schemas.openxmlformats.org/officeDocument/2006/relationships/hyperlink" Target="https://ig.me/m/kafeneionoermis" TargetMode="External"/><Relationship Id="rId289" Type="http://schemas.openxmlformats.org/officeDocument/2006/relationships/hyperlink" Target="https://www.instagram.com/lofosthessaloniki/" TargetMode="External"/><Relationship Id="rId290" Type="http://schemas.openxmlformats.org/officeDocument/2006/relationships/hyperlink" Target="https://ig.me/m/lofosthessaloniki" TargetMode="External"/><Relationship Id="rId291" Type="http://schemas.openxmlformats.org/officeDocument/2006/relationships/hyperlink" Target="https://www.instagram.com/pleiades_cafe_bar/" TargetMode="External"/><Relationship Id="rId292" Type="http://schemas.openxmlformats.org/officeDocument/2006/relationships/hyperlink" Target="https://ig.me/m/pleiades_cafe_bar" TargetMode="External"/><Relationship Id="rId293" Type="http://schemas.openxmlformats.org/officeDocument/2006/relationships/hyperlink" Target="https://www.instagram.com/toktima/" TargetMode="External"/><Relationship Id="rId294" Type="http://schemas.openxmlformats.org/officeDocument/2006/relationships/hyperlink" Target="https://ig.me/m/toktima" TargetMode="External"/><Relationship Id="rId295" Type="http://schemas.openxmlformats.org/officeDocument/2006/relationships/hyperlink" Target="https://www.instagram.com/phoenix_kafeneio_skg/" TargetMode="External"/><Relationship Id="rId296" Type="http://schemas.openxmlformats.org/officeDocument/2006/relationships/hyperlink" Target="https://ig.me/m/phoenix_kafeneio_skg" TargetMode="External"/><Relationship Id="rId297" Type="http://schemas.openxmlformats.org/officeDocument/2006/relationships/hyperlink" Target="https://www.instagram.com/athinaikosouvlaki/" TargetMode="External"/><Relationship Id="rId298" Type="http://schemas.openxmlformats.org/officeDocument/2006/relationships/hyperlink" Target="https://ig.me/m/athinaikosouvlaki" TargetMode="External"/><Relationship Id="rId299" Type="http://schemas.openxmlformats.org/officeDocument/2006/relationships/hyperlink" Target="https://www.instagram.com/austin.skg/" TargetMode="External"/><Relationship Id="rId300" Type="http://schemas.openxmlformats.org/officeDocument/2006/relationships/hyperlink" Target="https://ig.me/m/austin.skg" TargetMode="External"/><Relationship Id="rId301" Type="http://schemas.openxmlformats.org/officeDocument/2006/relationships/hyperlink" Target="https://www.instagram.com/berlin_bar_thessaloniki/" TargetMode="External"/><Relationship Id="rId302" Type="http://schemas.openxmlformats.org/officeDocument/2006/relationships/hyperlink" Target="https://ig.me/m/berlin_bar_thessaloniki" TargetMode="External"/><Relationship Id="rId303" Type="http://schemas.openxmlformats.org/officeDocument/2006/relationships/hyperlink" Target="https://www.instagram.com/blevinthessaloniki/" TargetMode="External"/><Relationship Id="rId304" Type="http://schemas.openxmlformats.org/officeDocument/2006/relationships/hyperlink" Target="https://ig.me/m/blevinthessaloniki" TargetMode="External"/><Relationship Id="rId305" Type="http://schemas.openxmlformats.org/officeDocument/2006/relationships/hyperlink" Target="https://www.instagram.com/cabare.thessaloniki/" TargetMode="External"/><Relationship Id="rId306" Type="http://schemas.openxmlformats.org/officeDocument/2006/relationships/hyperlink" Target="https://ig.me/m/cabare.thessaloniki" TargetMode="External"/><Relationship Id="rId307" Type="http://schemas.openxmlformats.org/officeDocument/2006/relationships/hyperlink" Target="https://www.instagram.com/casper_at_verykoko/" TargetMode="External"/><Relationship Id="rId308" Type="http://schemas.openxmlformats.org/officeDocument/2006/relationships/hyperlink" Target="https://ig.me/m/casper_at_verykoko" TargetMode="External"/><Relationship Id="rId309" Type="http://schemas.openxmlformats.org/officeDocument/2006/relationships/hyperlink" Target="https://www.instagram.com/drosiaskg/" TargetMode="External"/><Relationship Id="rId310" Type="http://schemas.openxmlformats.org/officeDocument/2006/relationships/hyperlink" Target="https://ig.me/m/drosiaskg" TargetMode="External"/><Relationship Id="rId311" Type="http://schemas.openxmlformats.org/officeDocument/2006/relationships/hyperlink" Target="https://www.instagram.com/ennea.rooftopbar/" TargetMode="External"/><Relationship Id="rId312" Type="http://schemas.openxmlformats.org/officeDocument/2006/relationships/hyperlink" Target="https://ig.me/m/ennea.rooftopbar" TargetMode="External"/><Relationship Id="rId313" Type="http://schemas.openxmlformats.org/officeDocument/2006/relationships/hyperlink" Target="https://www.instagram.com/enolabarclub/" TargetMode="External"/><Relationship Id="rId314" Type="http://schemas.openxmlformats.org/officeDocument/2006/relationships/hyperlink" Target="https://ig.me/m/enolabarclub" TargetMode="External"/><Relationship Id="rId315" Type="http://schemas.openxmlformats.org/officeDocument/2006/relationships/hyperlink" Target="https://www.instagram.com/fennel_gastrotavern/" TargetMode="External"/><Relationship Id="rId316" Type="http://schemas.openxmlformats.org/officeDocument/2006/relationships/hyperlink" Target="https://ig.me/m/fennel_gastrotavern" TargetMode="External"/><Relationship Id="rId317" Type="http://schemas.openxmlformats.org/officeDocument/2006/relationships/hyperlink" Target="https://www.instagram.com/folia.skg/" TargetMode="External"/><Relationship Id="rId318" Type="http://schemas.openxmlformats.org/officeDocument/2006/relationships/hyperlink" Target="https://ig.me/m/folia.skg" TargetMode="External"/><Relationship Id="rId319" Type="http://schemas.openxmlformats.org/officeDocument/2006/relationships/hyperlink" Target="https://www.instagram.com/gatsbythessaloniki/" TargetMode="External"/><Relationship Id="rId320" Type="http://schemas.openxmlformats.org/officeDocument/2006/relationships/hyperlink" Target="https://ig.me/m/gatsbythessaloniki" TargetMode="External"/><Relationship Id="rId321" Type="http://schemas.openxmlformats.org/officeDocument/2006/relationships/hyperlink" Target="https://www.instagram.com/gorillabarskg/" TargetMode="External"/><Relationship Id="rId322" Type="http://schemas.openxmlformats.org/officeDocument/2006/relationships/hyperlink" Target="https://ig.me/m/gorillabarskg" TargetMode="External"/><Relationship Id="rId323" Type="http://schemas.openxmlformats.org/officeDocument/2006/relationships/hyperlink" Target="https://www.instagram.com/lykos_thermi/" TargetMode="External"/><Relationship Id="rId324" Type="http://schemas.openxmlformats.org/officeDocument/2006/relationships/hyperlink" Target="https://ig.me/m/lykos_thermi" TargetMode="External"/><Relationship Id="rId325" Type="http://schemas.openxmlformats.org/officeDocument/2006/relationships/hyperlink" Target="https://www.instagram.com/papagalosrockbar/" TargetMode="External"/><Relationship Id="rId326" Type="http://schemas.openxmlformats.org/officeDocument/2006/relationships/hyperlink" Target="https://ig.me/m/papagalosrockbar" TargetMode="External"/><Relationship Id="rId327" Type="http://schemas.openxmlformats.org/officeDocument/2006/relationships/hyperlink" Target="https://www.instagram.com/paxburgers/" TargetMode="External"/><Relationship Id="rId328" Type="http://schemas.openxmlformats.org/officeDocument/2006/relationships/hyperlink" Target="https://ig.me/m/paxburgers" TargetMode="External"/><Relationship Id="rId329" Type="http://schemas.openxmlformats.org/officeDocument/2006/relationships/hyperlink" Target="https://www.instagram.com/poboys_skg/" TargetMode="External"/><Relationship Id="rId330" Type="http://schemas.openxmlformats.org/officeDocument/2006/relationships/hyperlink" Target="https://ig.me/m/poboys_skg" TargetMode="External"/><Relationship Id="rId331" Type="http://schemas.openxmlformats.org/officeDocument/2006/relationships/hyperlink" Target="https://www.instagram.com/prassasgrill/" TargetMode="External"/><Relationship Id="rId332" Type="http://schemas.openxmlformats.org/officeDocument/2006/relationships/hyperlink" Target="https://ig.me/m/prassasgrill" TargetMode="External"/><Relationship Id="rId333" Type="http://schemas.openxmlformats.org/officeDocument/2006/relationships/hyperlink" Target="https://www.instagram.com/pratinaburger.skg/" TargetMode="External"/><Relationship Id="rId334" Type="http://schemas.openxmlformats.org/officeDocument/2006/relationships/hyperlink" Target="https://ig.me/m/pratinaburger.skg" TargetMode="External"/><Relationship Id="rId335" Type="http://schemas.openxmlformats.org/officeDocument/2006/relationships/hyperlink" Target="https://www.instagram.com/rehabpub/" TargetMode="External"/><Relationship Id="rId336" Type="http://schemas.openxmlformats.org/officeDocument/2006/relationships/hyperlink" Target="https://ig.me/m/rehabpub" TargetMode="External"/><Relationship Id="rId337" Type="http://schemas.openxmlformats.org/officeDocument/2006/relationships/hyperlink" Target="https://www.instagram.com/siena.pizzeria.evosmos/" TargetMode="External"/><Relationship Id="rId338" Type="http://schemas.openxmlformats.org/officeDocument/2006/relationships/hyperlink" Target="https://ig.me/m/siena.pizzeria.evosmos" TargetMode="External"/><Relationship Id="rId339" Type="http://schemas.openxmlformats.org/officeDocument/2006/relationships/hyperlink" Target="https://www.instagram.com/sinergiobeer/" TargetMode="External"/><Relationship Id="rId340" Type="http://schemas.openxmlformats.org/officeDocument/2006/relationships/hyperlink" Target="https://ig.me/m/sinergiobeer" TargetMode="External"/><Relationship Id="rId341" Type="http://schemas.openxmlformats.org/officeDocument/2006/relationships/hyperlink" Target="https://www.instagram.com/stoabar.mimelismonei/" TargetMode="External"/><Relationship Id="rId342" Type="http://schemas.openxmlformats.org/officeDocument/2006/relationships/hyperlink" Target="https://ig.me/m/stoabar.mimelismonei" TargetMode="External"/><Relationship Id="rId343" Type="http://schemas.openxmlformats.org/officeDocument/2006/relationships/hyperlink" Target="https://www.instagram.com/thepub.thessaloniki/" TargetMode="External"/><Relationship Id="rId344" Type="http://schemas.openxmlformats.org/officeDocument/2006/relationships/hyperlink" Target="https://ig.me/m/thepub.thessaloniki" TargetMode="External"/><Relationship Id="rId345" Type="http://schemas.openxmlformats.org/officeDocument/2006/relationships/hyperlink" Target="https://www.instagram.com/utopia_taproom/" TargetMode="External"/><Relationship Id="rId346" Type="http://schemas.openxmlformats.org/officeDocument/2006/relationships/hyperlink" Target="https://ig.me/m/utopia_taproom" TargetMode="External"/><Relationship Id="rId347" Type="http://schemas.openxmlformats.org/officeDocument/2006/relationships/hyperlink" Target="https://www.instagram.com/zeme.skg/" TargetMode="External"/><Relationship Id="rId348" Type="http://schemas.openxmlformats.org/officeDocument/2006/relationships/hyperlink" Target="https://ig.me/m/zeme.skg" TargetMode="External"/><Relationship Id="rId349" Type="http://schemas.openxmlformats.org/officeDocument/2006/relationships/hyperlink" Target="https://www.instagram.com/adytorockbar/" TargetMode="External"/><Relationship Id="rId350" Type="http://schemas.openxmlformats.org/officeDocument/2006/relationships/hyperlink" Target="https://ig.me/m/adytorockbar" TargetMode="External"/><Relationship Id="rId351" Type="http://schemas.openxmlformats.org/officeDocument/2006/relationships/hyperlink" Target="https://www.instagram.com/vogatsikou_3/" TargetMode="External"/><Relationship Id="rId352" Type="http://schemas.openxmlformats.org/officeDocument/2006/relationships/hyperlink" Target="https://ig.me/m/vogatsikou_3" TargetMode="External"/><Relationship Id="rId353" Type="http://schemas.openxmlformats.org/officeDocument/2006/relationships/hyperlink" Target="https://www.instagram.com/gyradiko_/" TargetMode="External"/><Relationship Id="rId354" Type="http://schemas.openxmlformats.org/officeDocument/2006/relationships/hyperlink" Target="https://ig.me/m/gyradiko_" TargetMode="External"/><Relationship Id="rId355" Type="http://schemas.openxmlformats.org/officeDocument/2006/relationships/hyperlink" Target="https://www.instagram.com/gyro_gyro_sta_ladadika/" TargetMode="External"/><Relationship Id="rId356" Type="http://schemas.openxmlformats.org/officeDocument/2006/relationships/hyperlink" Target="https://ig.me/m/gyro_gyro_sta_ladadika" TargetMode="External"/><Relationship Id="rId357" Type="http://schemas.openxmlformats.org/officeDocument/2006/relationships/hyperlink" Target="https://www.instagram.com/esperanto.skg/" TargetMode="External"/><Relationship Id="rId358" Type="http://schemas.openxmlformats.org/officeDocument/2006/relationships/hyperlink" Target="https://ig.me/m/esperanto.skg" TargetMode="External"/><Relationship Id="rId359" Type="http://schemas.openxmlformats.org/officeDocument/2006/relationships/hyperlink" Target="https://www.instagram.com/ineafolia/" TargetMode="External"/><Relationship Id="rId360" Type="http://schemas.openxmlformats.org/officeDocument/2006/relationships/hyperlink" Target="https://ig.me/m/ineafolia" TargetMode="External"/><Relationship Id="rId361" Type="http://schemas.openxmlformats.org/officeDocument/2006/relationships/hyperlink" Target="https://www.instagram.com/iviskos_skg/" TargetMode="External"/><Relationship Id="rId362" Type="http://schemas.openxmlformats.org/officeDocument/2006/relationships/hyperlink" Target="https://ig.me/m/iviskos_skg" TargetMode="External"/><Relationship Id="rId363" Type="http://schemas.openxmlformats.org/officeDocument/2006/relationships/hyperlink" Target="https://www.instagram.com/ippopotamos_skg/" TargetMode="External"/><Relationship Id="rId364" Type="http://schemas.openxmlformats.org/officeDocument/2006/relationships/hyperlink" Target="https://ig.me/m/ippopotamos_skg" TargetMode="External"/><Relationship Id="rId365" Type="http://schemas.openxmlformats.org/officeDocument/2006/relationships/hyperlink" Target="https://www.instagram.com/kantouni_ladadika/" TargetMode="External"/><Relationship Id="rId366" Type="http://schemas.openxmlformats.org/officeDocument/2006/relationships/hyperlink" Target="https://ig.me/m/kantouni_ladadika" TargetMode="External"/><Relationship Id="rId367" Type="http://schemas.openxmlformats.org/officeDocument/2006/relationships/hyperlink" Target="https://www.instagram.com/mimis.souvlakia/" TargetMode="External"/><Relationship Id="rId368" Type="http://schemas.openxmlformats.org/officeDocument/2006/relationships/hyperlink" Target="https://ig.me/m/mimis.souvlakia" TargetMode="External"/><Relationship Id="rId369" Type="http://schemas.openxmlformats.org/officeDocument/2006/relationships/hyperlink" Target="https://www.instagram.com/mezedakibar/" TargetMode="External"/><Relationship Id="rId370" Type="http://schemas.openxmlformats.org/officeDocument/2006/relationships/hyperlink" Target="https://ig.me/m/mezedakibar" TargetMode="External"/><Relationship Id="rId371" Type="http://schemas.openxmlformats.org/officeDocument/2006/relationships/hyperlink" Target="https://www.instagram.com/sourtoukw_meze/" TargetMode="External"/><Relationship Id="rId372" Type="http://schemas.openxmlformats.org/officeDocument/2006/relationships/hyperlink" Target="https://ig.me/m/sourtoukw_meze" TargetMode="External"/><Relationship Id="rId373" Type="http://schemas.openxmlformats.org/officeDocument/2006/relationships/hyperlink" Target="https://www.instagram.com/monmarti_winebar/" TargetMode="External"/><Relationship Id="rId374" Type="http://schemas.openxmlformats.org/officeDocument/2006/relationships/hyperlink" Target="https://ig.me/m/monmarti_winebar" TargetMode="External"/><Relationship Id="rId375" Type="http://schemas.openxmlformats.org/officeDocument/2006/relationships/hyperlink" Target="https://www.instagram.com/derlikatesen/" TargetMode="External"/><Relationship Id="rId376" Type="http://schemas.openxmlformats.org/officeDocument/2006/relationships/hyperlink" Target="https://ig.me/m/derlikatesen" TargetMode="External"/><Relationship Id="rId377" Type="http://schemas.openxmlformats.org/officeDocument/2006/relationships/hyperlink" Target="https://www.instagram.com/pitsaria_neapoli/" TargetMode="External"/><Relationship Id="rId378" Type="http://schemas.openxmlformats.org/officeDocument/2006/relationships/hyperlink" Target="https://ig.me/m/pitsaria_neapoli" TargetMode="External"/><Relationship Id="rId379" Type="http://schemas.openxmlformats.org/officeDocument/2006/relationships/hyperlink" Target="https://www.instagram.com/ta_vlachika.thessaloniki/" TargetMode="External"/><Relationship Id="rId380" Type="http://schemas.openxmlformats.org/officeDocument/2006/relationships/hyperlink" Target="https://ig.me/m/ta_vlachika.thessaloniki" TargetMode="External"/><Relationship Id="rId381" Type="http://schemas.openxmlformats.org/officeDocument/2006/relationships/hyperlink" Target="https://www.instagram.com/todixti/" TargetMode="External"/><Relationship Id="rId382" Type="http://schemas.openxmlformats.org/officeDocument/2006/relationships/hyperlink" Target="https://ig.me/m/todixti" TargetMode="External"/><Relationship Id="rId383" Type="http://schemas.openxmlformats.org/officeDocument/2006/relationships/hyperlink" Target="https://www.instagram.com/tokourmpeti/" TargetMode="External"/><Relationship Id="rId384" Type="http://schemas.openxmlformats.org/officeDocument/2006/relationships/hyperlink" Target="https://ig.me/m/tokourmpeti" TargetMode="External"/><Relationship Id="rId385" Type="http://schemas.openxmlformats.org/officeDocument/2006/relationships/hyperlink" Target="https://www.instagram.com/folki.skg/" TargetMode="External"/><Relationship Id="rId386" Type="http://schemas.openxmlformats.org/officeDocument/2006/relationships/hyperlink" Target="https://ig.me/m/folki.skg" TargetMode="External"/><Relationship Id="rId387" Type="http://schemas.openxmlformats.org/officeDocument/2006/relationships/hyperlink" Target="https://www.instagram.com/fliskouni.meze/" TargetMode="External"/><Relationship Id="rId388" Type="http://schemas.openxmlformats.org/officeDocument/2006/relationships/hyperlink" Target="https://ig.me/m/fliskouni.meze" TargetMode="External"/><Relationship Id="rId389" Type="http://schemas.openxmlformats.org/officeDocument/2006/relationships/hyperlink" Target="https://www.instagram.com/xristosgyradiko.gr/" TargetMode="External"/><Relationship Id="rId390" Type="http://schemas.openxmlformats.org/officeDocument/2006/relationships/hyperlink" Target="https://ig.me/m/xristosgyradiko.gr" TargetMode="External"/><Relationship Id="rId391" Type="http://schemas.openxmlformats.org/officeDocument/2006/relationships/hyperlink" Target="https://www.instagram.com/kalofagas_ladadika/" TargetMode="External"/><Relationship Id="rId392" Type="http://schemas.openxmlformats.org/officeDocument/2006/relationships/hyperlink" Target="https://ig.me/m/kalofagas_ladadika" TargetMode="External"/><Relationship Id="rId393" Type="http://schemas.openxmlformats.org/officeDocument/2006/relationships/hyperlink" Target="https://www.instagram.com/zaxaroplasteia_vasilis/" TargetMode="External"/><Relationship Id="rId394" Type="http://schemas.openxmlformats.org/officeDocument/2006/relationships/hyperlink" Target="https://ig.me/m/zaxaroplasteia_vasilis" TargetMode="External"/><Relationship Id="rId395" Type="http://schemas.openxmlformats.org/officeDocument/2006/relationships/hyperlink" Target="https://www.instagram.com/sarai_patisserie/" TargetMode="External"/><Relationship Id="rId396" Type="http://schemas.openxmlformats.org/officeDocument/2006/relationships/hyperlink" Target="https://ig.me/m/sarai_patisserie" TargetMode="External"/><Relationship Id="rId397" Type="http://schemas.openxmlformats.org/officeDocument/2006/relationships/hyperlink" Target="https://www.instagram.com/tzeneral_zaxaroplasteio/" TargetMode="External"/><Relationship Id="rId398" Type="http://schemas.openxmlformats.org/officeDocument/2006/relationships/hyperlink" Target="https://ig.me/m/tzeneral_zaxaroplasteio" TargetMode="External"/><Relationship Id="rId39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5" t="n">
        <f aca="false">COUNTIFS(Λογαριασμοί!$F$5:$F$203,$A5,Λογαριασμοί!$I$5:$I$203,"A")</f>
        <v>63</v>
      </c>
      <c r="C5" s="5" t="n">
        <f aca="false">COUNTIFS(Λογαριασμοί!$F$5:$F$203,$A5,Λογαριασμοί!$I$5:$I$203,"B")</f>
        <v>34</v>
      </c>
      <c r="D5" s="5" t="n">
        <f aca="false">COUNTIFS(Λογαριασμοί!$F$5:$F$203,$A5,Λογαριασμοί!$I$5:$I$203,"C")</f>
        <v>9</v>
      </c>
      <c r="E5" s="5" t="n">
        <f aca="false">SUM(B5:D5)</f>
        <v>106</v>
      </c>
    </row>
    <row r="6" customFormat="false" ht="15" hidden="false" customHeight="false" outlineLevel="0" collapsed="false">
      <c r="A6" s="4" t="s">
        <v>8</v>
      </c>
      <c r="B6" s="5" t="n">
        <f aca="false">COUNTIFS(Λογαριασμοί!$F$5:$F$203,$A6,Λογαριασμοί!$I$5:$I$203,"A")</f>
        <v>42</v>
      </c>
      <c r="C6" s="5" t="n">
        <f aca="false">COUNTIFS(Λογαριασμοί!$F$5:$F$203,$A6,Λογαριασμοί!$I$5:$I$203,"B")</f>
        <v>48</v>
      </c>
      <c r="D6" s="5" t="n">
        <f aca="false">COUNTIFS(Λογαριασμοί!$F$5:$F$203,$A6,Λογαριασμοί!$I$5:$I$203,"C")</f>
        <v>3</v>
      </c>
      <c r="E6" s="5" t="n">
        <f aca="false">SUM(B6:D6)</f>
        <v>93</v>
      </c>
    </row>
    <row r="7" customFormat="false" ht="15" hidden="false" customHeight="false" outlineLevel="0" collapsed="false">
      <c r="A7" s="4" t="s">
        <v>6</v>
      </c>
      <c r="B7" s="4" t="n">
        <f aca="false">SUM(B5:B6)</f>
        <v>105</v>
      </c>
      <c r="C7" s="4" t="n">
        <f aca="false">SUM(C5:C6)</f>
        <v>82</v>
      </c>
      <c r="D7" s="4" t="n">
        <f aca="false">SUM(D5:D6)</f>
        <v>12</v>
      </c>
      <c r="E7" s="4" t="n">
        <f aca="false">SUM(E5:E6)</f>
        <v>199</v>
      </c>
    </row>
    <row r="8" customFormat="false" ht="15" hidden="false" customHeight="false" outlineLevel="0" collapsed="false">
      <c r="A8" s="6"/>
      <c r="B8" s="7"/>
      <c r="C8" s="7"/>
      <c r="D8" s="7"/>
      <c r="E8" s="7"/>
    </row>
    <row r="9" customFormat="false" ht="15" hidden="false" customHeight="false" outlineLevel="0" collapsed="false">
      <c r="A9" s="3" t="s">
        <v>9</v>
      </c>
      <c r="B9" s="3" t="s">
        <v>7</v>
      </c>
      <c r="C9" s="3" t="s">
        <v>8</v>
      </c>
      <c r="D9" s="3" t="s">
        <v>6</v>
      </c>
    </row>
    <row r="10" customFormat="false" ht="15" hidden="false" customHeight="false" outlineLevel="0" collapsed="false">
      <c r="A10" s="4" t="s">
        <v>10</v>
      </c>
      <c r="B10" s="5" t="n">
        <f aca="false">COUNTIFS(Λογαριασμοί!$L$5:$L$203,$A10,Λογαριασμοί!$F$5:$F$203,"Αθήνα")</f>
        <v>106</v>
      </c>
      <c r="C10" s="5" t="n">
        <f aca="false">COUNTIFS(Λογαριασμοί!$L$5:$L$203,$A10,Λογαριασμοί!$F$5:$F$203,"Θεσσαλονίκη")</f>
        <v>93</v>
      </c>
      <c r="D10" s="5" t="n">
        <f aca="false">B10+C10</f>
        <v>199</v>
      </c>
      <c r="E10" s="7"/>
    </row>
    <row r="11" customFormat="false" ht="15" hidden="false" customHeight="false" outlineLevel="0" collapsed="false">
      <c r="A11" s="4" t="s">
        <v>11</v>
      </c>
      <c r="B11" s="5" t="n">
        <f aca="false">COUNTIFS(Λογαριασμοί!$L$5:$L$203,$A11,Λογαριασμοί!$F$5:$F$203,"Αθήνα")</f>
        <v>0</v>
      </c>
      <c r="C11" s="5" t="n">
        <f aca="false">COUNTIFS(Λογαριασμοί!$L$5:$L$203,$A11,Λογαριασμοί!$F$5:$F$203,"Θεσσαλονίκη")</f>
        <v>0</v>
      </c>
      <c r="D11" s="5" t="n">
        <f aca="false">B11+C11</f>
        <v>0</v>
      </c>
      <c r="E11" s="7"/>
    </row>
    <row r="12" customFormat="false" ht="15" hidden="false" customHeight="false" outlineLevel="0" collapsed="false">
      <c r="A12" s="4" t="s">
        <v>12</v>
      </c>
      <c r="B12" s="5" t="n">
        <f aca="false">COUNTIFS(Λογαριασμοί!$L$5:$L$203,$A12,Λογαριασμοί!$F$5:$F$203,"Αθήνα")</f>
        <v>0</v>
      </c>
      <c r="C12" s="5" t="n">
        <f aca="false">COUNTIFS(Λογαριασμοί!$L$5:$L$203,$A12,Λογαριασμοί!$F$5:$F$203,"Θεσσαλονίκη")</f>
        <v>0</v>
      </c>
      <c r="D12" s="5" t="n">
        <f aca="false">B12+C12</f>
        <v>0</v>
      </c>
      <c r="E12" s="7"/>
    </row>
    <row r="13" customFormat="false" ht="15" hidden="false" customHeight="false" outlineLevel="0" collapsed="false">
      <c r="A13" s="4" t="s">
        <v>13</v>
      </c>
      <c r="B13" s="5" t="n">
        <f aca="false">COUNTIFS(Λογαριασμοί!$L$5:$L$203,$A13,Λογαριασμοί!$F$5:$F$203,"Αθήνα")</f>
        <v>0</v>
      </c>
      <c r="C13" s="5" t="n">
        <f aca="false">COUNTIFS(Λογαριασμοί!$L$5:$L$203,$A13,Λογαριασμοί!$F$5:$F$203,"Θεσσαλονίκη")</f>
        <v>0</v>
      </c>
      <c r="D13" s="5" t="n">
        <f aca="false">B13+C13</f>
        <v>0</v>
      </c>
      <c r="E13" s="7"/>
    </row>
    <row r="14" customFormat="false" ht="15" hidden="false" customHeight="false" outlineLevel="0" collapsed="false">
      <c r="A14" s="4" t="s">
        <v>14</v>
      </c>
      <c r="B14" s="5" t="n">
        <f aca="false">COUNTIFS(Λογαριασμοί!$L$5:$L$203,$A14,Λογαριασμοί!$F$5:$F$203,"Αθήνα")</f>
        <v>0</v>
      </c>
      <c r="C14" s="5" t="n">
        <f aca="false">COUNTIFS(Λογαριασμοί!$L$5:$L$203,$A14,Λογαριασμοί!$F$5:$F$203,"Θεσσαλονίκη")</f>
        <v>0</v>
      </c>
      <c r="D14" s="5" t="n">
        <f aca="false">B14+C14</f>
        <v>0</v>
      </c>
      <c r="E14" s="7"/>
    </row>
    <row r="15" customFormat="false" ht="15" hidden="false" customHeight="false" outlineLevel="0" collapsed="false">
      <c r="A15" s="4" t="s">
        <v>15</v>
      </c>
      <c r="B15" s="5" t="n">
        <f aca="false">COUNTIFS(Λογαριασμοί!$L$5:$L$203,$A15,Λογαριασμοί!$F$5:$F$203,"Αθήνα")</f>
        <v>0</v>
      </c>
      <c r="C15" s="5" t="n">
        <f aca="false">COUNTIFS(Λογαριασμοί!$L$5:$L$203,$A15,Λογαριασμοί!$F$5:$F$203,"Θεσσαλονίκη")</f>
        <v>0</v>
      </c>
      <c r="D15" s="5" t="n">
        <f aca="false">B15+C15</f>
        <v>0</v>
      </c>
      <c r="E15" s="7"/>
    </row>
    <row r="16" customFormat="false" ht="15" hidden="false" customHeight="false" outlineLevel="0" collapsed="false">
      <c r="A16" s="4" t="s">
        <v>16</v>
      </c>
      <c r="B16" s="5" t="n">
        <f aca="false">COUNTIFS(Λογαριασμοί!$L$5:$L$203,$A16,Λογαριασμοί!$F$5:$F$203,"Αθήνα")</f>
        <v>0</v>
      </c>
      <c r="C16" s="5" t="n">
        <f aca="false">COUNTIFS(Λογαριασμοί!$L$5:$L$203,$A16,Λογαριασμοί!$F$5:$F$203,"Θεσσαλονίκη")</f>
        <v>0</v>
      </c>
      <c r="D16" s="5" t="n">
        <f aca="false">B16+C16</f>
        <v>0</v>
      </c>
      <c r="E16" s="7"/>
    </row>
    <row r="17" customFormat="false" ht="15" hidden="false" customHeight="false" outlineLevel="0" collapsed="false">
      <c r="A17" s="4" t="s">
        <v>17</v>
      </c>
      <c r="B17" s="5" t="n">
        <f aca="false">COUNTIFS(Λογαριασμοί!$L$5:$L$203,$A17,Λογαριασμοί!$F$5:$F$203,"Αθήνα")</f>
        <v>0</v>
      </c>
      <c r="C17" s="5" t="n">
        <f aca="false">COUNTIFS(Λογαριασμοί!$L$5:$L$203,$A17,Λογαριασμοί!$F$5:$F$203,"Θεσσαλονίκη")</f>
        <v>0</v>
      </c>
      <c r="D17" s="5" t="n">
        <f aca="false">B17+C17</f>
        <v>0</v>
      </c>
      <c r="E17" s="7"/>
    </row>
    <row r="18" customFormat="false" ht="15" hidden="false" customHeight="false" outlineLevel="0" collapsed="false">
      <c r="A18" s="6"/>
      <c r="B18" s="7"/>
      <c r="C18" s="7"/>
      <c r="D18" s="7"/>
      <c r="E18" s="7"/>
    </row>
    <row r="19" customFormat="false" ht="15" hidden="false" customHeight="false" outlineLevel="0" collapsed="false">
      <c r="A19" s="6" t="s">
        <v>18</v>
      </c>
      <c r="B19" s="8" t="n">
        <f aca="false">IF((COUNTA(Λογαριασμοί!$L$5:$L$203)-COUNTIF(Λογαριασμοί!$L$5:$L$203,"Δεν στάλθηκε"))=0,0,(COUNTIF(Λογαριασμοί!$L$5:$L$203,"Ενδιαφέρεται")+COUNTIF(Λογαριασμοί!$L$5:$L$203,"Ραντεβού / Demo")+COUNTIF(Λογαριασμοί!$L$5:$L$203,"Συνεργάτης")+COUNTIF(Λογαριασμοί!$L$5:$L$203,"Δεν ενδιαφέρεται"))/(COUNTA(Λογαριασμοί!$L$5:$L$203)-COUNTIF(Λογαριασμοί!$L$5:$L$203,"Δεν στάλθηκε")))</f>
        <v>0</v>
      </c>
      <c r="C19" s="2" t="s">
        <v>19</v>
      </c>
      <c r="D19" s="7"/>
      <c r="E19" s="7"/>
    </row>
    <row r="21" customFormat="false" ht="15" hidden="false" customHeight="false" outlineLevel="0" collapsed="false">
      <c r="A21" s="9" t="s">
        <v>20</v>
      </c>
    </row>
    <row r="22" customFormat="false" ht="48" hidden="false" customHeight="true" outlineLevel="0" collapsed="false">
      <c r="A22" s="10" t="s">
        <v>21</v>
      </c>
      <c r="B22" s="10"/>
      <c r="C22" s="10"/>
      <c r="D22" s="10"/>
      <c r="E22" s="10"/>
    </row>
    <row r="23" customFormat="false" ht="48" hidden="false" customHeight="true" outlineLevel="0" collapsed="false">
      <c r="A23" s="10" t="s">
        <v>22</v>
      </c>
      <c r="B23" s="10"/>
      <c r="C23" s="10"/>
      <c r="D23" s="10"/>
      <c r="E23" s="10"/>
    </row>
    <row r="24" customFormat="false" ht="48" hidden="false" customHeight="true" outlineLevel="0" collapsed="false">
      <c r="A24" s="10" t="s">
        <v>23</v>
      </c>
      <c r="B24" s="10"/>
      <c r="C24" s="10"/>
      <c r="D24" s="10"/>
      <c r="E24" s="10"/>
    </row>
    <row r="25" customFormat="false" ht="48" hidden="false" customHeight="true" outlineLevel="0" collapsed="false">
      <c r="A25" s="10" t="s">
        <v>24</v>
      </c>
      <c r="B25" s="10"/>
      <c r="C25" s="10"/>
      <c r="D25" s="10"/>
      <c r="E25" s="10"/>
    </row>
    <row r="26" customFormat="false" ht="48" hidden="false" customHeight="true" outlineLevel="0" collapsed="false">
      <c r="A26" s="10" t="s">
        <v>25</v>
      </c>
      <c r="B26" s="10"/>
      <c r="C26" s="10"/>
      <c r="D26" s="10"/>
      <c r="E26" s="10"/>
    </row>
    <row r="27" customFormat="false" ht="48" hidden="false" customHeight="true" outlineLevel="0" collapsed="false">
      <c r="A27" s="10" t="s">
        <v>26</v>
      </c>
      <c r="B27" s="10"/>
      <c r="C27" s="10"/>
      <c r="D27" s="10"/>
      <c r="E27" s="10"/>
    </row>
  </sheetData>
  <mergeCells count="6">
    <mergeCell ref="A22:E22"/>
    <mergeCell ref="A23:E23"/>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6"/>
    <col collapsed="false" customWidth="true" hidden="false" outlineLevel="0" max="5" min="4" style="0" width="12"/>
    <col collapsed="false" customWidth="true" hidden="false" outlineLevel="0" max="6" min="6" style="0" width="13"/>
    <col collapsed="false" customWidth="true" hidden="false" outlineLevel="0" max="7" min="7" style="0" width="32"/>
    <col collapsed="false" customWidth="true" hidden="false" outlineLevel="0" max="8" min="8" style="0" width="26"/>
    <col collapsed="false" customWidth="true" hidden="false" outlineLevel="0" max="9" min="9" style="0" width="13"/>
    <col collapsed="false" customWidth="true" hidden="false" outlineLevel="0" max="10" min="10" style="0" width="42"/>
    <col collapsed="false" customWidth="true" hidden="false" outlineLevel="0" max="12" min="11" style="0" width="20"/>
    <col collapsed="false" customWidth="true" hidden="false" outlineLevel="0" max="14" min="13" style="0" width="14"/>
    <col collapsed="false" customWidth="true" hidden="false" outlineLevel="0" max="15" min="15" style="0" width="34"/>
    <col collapsed="false" customWidth="true" hidden="false" outlineLevel="0" max="16" min="16" style="0" width="60"/>
  </cols>
  <sheetData>
    <row r="1" customFormat="false" ht="17.35" hidden="false" customHeight="false" outlineLevel="0" collapsed="false">
      <c r="A1" s="1" t="s">
        <v>27</v>
      </c>
    </row>
    <row r="2" customFormat="false" ht="15" hidden="false" customHeight="false" outlineLevel="0" collapsed="false">
      <c r="A2" s="2" t="s">
        <v>28</v>
      </c>
    </row>
    <row r="4" customFormat="false" ht="31.5" hidden="false" customHeight="true" outlineLevel="0" collapsed="false">
      <c r="A4" s="3" t="s">
        <v>29</v>
      </c>
      <c r="B4" s="3" t="s">
        <v>30</v>
      </c>
      <c r="C4" s="3" t="s">
        <v>31</v>
      </c>
      <c r="D4" s="3" t="s">
        <v>32</v>
      </c>
      <c r="E4" s="3" t="s">
        <v>33</v>
      </c>
      <c r="F4" s="3" t="s">
        <v>2</v>
      </c>
      <c r="G4" s="3" t="s">
        <v>34</v>
      </c>
      <c r="H4" s="3" t="s">
        <v>35</v>
      </c>
      <c r="I4" s="3" t="s">
        <v>36</v>
      </c>
      <c r="J4" s="3" t="s">
        <v>37</v>
      </c>
      <c r="K4" s="3" t="s">
        <v>38</v>
      </c>
      <c r="L4" s="11" t="s">
        <v>9</v>
      </c>
      <c r="M4" s="11" t="s">
        <v>39</v>
      </c>
      <c r="N4" s="3" t="s">
        <v>40</v>
      </c>
      <c r="O4" s="11" t="s">
        <v>41</v>
      </c>
      <c r="P4" s="3" t="s">
        <v>42</v>
      </c>
    </row>
    <row r="5" customFormat="false" ht="141" hidden="false" customHeight="false" outlineLevel="0" collapsed="false">
      <c r="A5" s="12" t="n">
        <v>1</v>
      </c>
      <c r="B5" s="12" t="s">
        <v>43</v>
      </c>
      <c r="C5" s="12" t="s">
        <v>44</v>
      </c>
      <c r="D5" s="13" t="s">
        <v>45</v>
      </c>
      <c r="E5" s="13" t="s">
        <v>46</v>
      </c>
      <c r="F5" s="12" t="s">
        <v>7</v>
      </c>
      <c r="G5" s="12" t="s">
        <v>47</v>
      </c>
      <c r="H5" s="12" t="s">
        <v>48</v>
      </c>
      <c r="I5" s="14" t="s">
        <v>3</v>
      </c>
      <c r="J5" s="12"/>
      <c r="K5" s="12"/>
      <c r="L5" s="15" t="s">
        <v>10</v>
      </c>
      <c r="M5" s="16"/>
      <c r="N5" s="17" t="str">
        <f aca="false">IF(M5="","",M5+4)</f>
        <v/>
      </c>
      <c r="O5" s="15"/>
      <c r="P5" s="18" t="str">
        <f aca="false">SUBSTITUTE(SUBSTITUTE(IF(I5="A",Μηνύματα!$B$7,Μηνύματα!$B$8),"{ΚΑΤΑΣΤΗΜΑ}",B5),"{ΟΝΟΜΑ}",Μηνύματα!$B$4)</f>
        <v>Γεια σας! 👋 Είμαι ο/η [Το όνομά σου] από την Anbit (anbit.gr). Μας άρεσε πολύ το Adonis Premises / Alemania's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 customFormat="false" ht="141" hidden="false" customHeight="false" outlineLevel="0" collapsed="false">
      <c r="A6" s="12" t="n">
        <v>2</v>
      </c>
      <c r="B6" s="12" t="s">
        <v>49</v>
      </c>
      <c r="C6" s="12" t="s">
        <v>50</v>
      </c>
      <c r="D6" s="13" t="s">
        <v>45</v>
      </c>
      <c r="E6" s="13" t="s">
        <v>46</v>
      </c>
      <c r="F6" s="12" t="s">
        <v>7</v>
      </c>
      <c r="G6" s="12" t="s">
        <v>51</v>
      </c>
      <c r="H6" s="12" t="s">
        <v>52</v>
      </c>
      <c r="I6" s="14" t="s">
        <v>3</v>
      </c>
      <c r="J6" s="12" t="s">
        <v>53</v>
      </c>
      <c r="K6" s="12"/>
      <c r="L6" s="15" t="s">
        <v>10</v>
      </c>
      <c r="M6" s="16"/>
      <c r="N6" s="17" t="str">
        <f aca="false">IF(M6="","",M6+4)</f>
        <v/>
      </c>
      <c r="O6" s="15"/>
      <c r="P6" s="18" t="str">
        <f aca="false">SUBSTITUTE(SUBSTITUTE(IF(I6="A",Μηνύματα!$B$7,Μηνύματα!$B$8),"{ΚΑΤΑΣΤΗΜΑ}",B6),"{ΟΝΟΜΑ}",Μηνύματα!$B$4)</f>
        <v>Γεια σας! 👋 Είμαι ο/η [Το όνομά σου] από την Anbit (anbit.gr). Μας άρεσε πολύ το Aroma Cafe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7" customFormat="false" ht="141" hidden="false" customHeight="false" outlineLevel="0" collapsed="false">
      <c r="A7" s="12" t="n">
        <v>3</v>
      </c>
      <c r="B7" s="12" t="s">
        <v>54</v>
      </c>
      <c r="C7" s="12" t="s">
        <v>55</v>
      </c>
      <c r="D7" s="13" t="s">
        <v>45</v>
      </c>
      <c r="E7" s="13" t="s">
        <v>46</v>
      </c>
      <c r="F7" s="12" t="s">
        <v>7</v>
      </c>
      <c r="G7" s="12" t="s">
        <v>56</v>
      </c>
      <c r="H7" s="12" t="s">
        <v>57</v>
      </c>
      <c r="I7" s="14" t="s">
        <v>3</v>
      </c>
      <c r="J7" s="12" t="s">
        <v>58</v>
      </c>
      <c r="K7" s="12"/>
      <c r="L7" s="15" t="s">
        <v>10</v>
      </c>
      <c r="M7" s="16"/>
      <c r="N7" s="17" t="str">
        <f aca="false">IF(M7="","",M7+4)</f>
        <v/>
      </c>
      <c r="O7" s="15"/>
      <c r="P7" s="18" t="str">
        <f aca="false">SUBSTITUTE(SUBSTITUTE(IF(I7="A",Μηνύματα!$B$7,Μηνύματα!$B$8),"{ΚΑΤΑΣΤΗΜΑ}",B7),"{ΟΝΟΜΑ}",Μηνύματα!$B$4)</f>
        <v>Γεια σας! 👋 Είμαι ο/η [Το όνομά σου] από την Anbit (anbit.gr). Μας άρεσε πολύ το Athénée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8" customFormat="false" ht="141" hidden="false" customHeight="false" outlineLevel="0" collapsed="false">
      <c r="A8" s="12" t="n">
        <v>4</v>
      </c>
      <c r="B8" s="12" t="s">
        <v>59</v>
      </c>
      <c r="C8" s="12" t="s">
        <v>60</v>
      </c>
      <c r="D8" s="13" t="s">
        <v>45</v>
      </c>
      <c r="E8" s="13" t="s">
        <v>46</v>
      </c>
      <c r="F8" s="12" t="s">
        <v>7</v>
      </c>
      <c r="G8" s="12" t="s">
        <v>56</v>
      </c>
      <c r="H8" s="12" t="s">
        <v>61</v>
      </c>
      <c r="I8" s="14" t="s">
        <v>3</v>
      </c>
      <c r="J8" s="12" t="s">
        <v>62</v>
      </c>
      <c r="K8" s="12"/>
      <c r="L8" s="15" t="s">
        <v>10</v>
      </c>
      <c r="M8" s="16"/>
      <c r="N8" s="17" t="str">
        <f aca="false">IF(M8="","",M8+4)</f>
        <v/>
      </c>
      <c r="O8" s="15"/>
      <c r="P8" s="18" t="str">
        <f aca="false">SUBSTITUTE(SUBSTITUTE(IF(I8="A",Μηνύματα!$B$7,Μηνύματα!$B$8),"{ΚΑΤΑΣΤΗΜΑ}",B8),"{ΟΝΟΜΑ}",Μηνύματα!$B$4)</f>
        <v>Γεια σας! 👋 Είμαι ο/η [Το όνομά σου] από την Anbit (anbit.gr). Μας άρεσε πολύ το BAR IDEAL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9" customFormat="false" ht="141" hidden="false" customHeight="false" outlineLevel="0" collapsed="false">
      <c r="A9" s="12" t="n">
        <v>5</v>
      </c>
      <c r="B9" s="12" t="s">
        <v>63</v>
      </c>
      <c r="C9" s="12" t="s">
        <v>64</v>
      </c>
      <c r="D9" s="13" t="s">
        <v>45</v>
      </c>
      <c r="E9" s="13" t="s">
        <v>46</v>
      </c>
      <c r="F9" s="12" t="s">
        <v>7</v>
      </c>
      <c r="G9" s="12" t="s">
        <v>65</v>
      </c>
      <c r="H9" s="12" t="s">
        <v>66</v>
      </c>
      <c r="I9" s="14" t="s">
        <v>3</v>
      </c>
      <c r="J9" s="12"/>
      <c r="K9" s="12"/>
      <c r="L9" s="15" t="s">
        <v>10</v>
      </c>
      <c r="M9" s="16"/>
      <c r="N9" s="17" t="str">
        <f aca="false">IF(M9="","",M9+4)</f>
        <v/>
      </c>
      <c r="O9" s="15"/>
      <c r="P9" s="18" t="str">
        <f aca="false">SUBSTITUTE(SUBSTITUTE(IF(I9="A",Μηνύματα!$B$7,Μηνύματα!$B$8),"{ΚΑΤΑΣΤΗΜΑ}",B9),"{ΟΝΟΜΑ}",Μηνύματα!$B$4)</f>
        <v>Γεια σας! 👋 Είμαι ο/η [Το όνομά σου] από την Anbit (anbit.gr). Μας άρεσε πολύ το Barista's Nea Smyrni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0" customFormat="false" ht="141" hidden="false" customHeight="false" outlineLevel="0" collapsed="false">
      <c r="A10" s="12" t="n">
        <v>6</v>
      </c>
      <c r="B10" s="12" t="s">
        <v>67</v>
      </c>
      <c r="C10" s="12" t="s">
        <v>68</v>
      </c>
      <c r="D10" s="13" t="s">
        <v>45</v>
      </c>
      <c r="E10" s="13" t="s">
        <v>46</v>
      </c>
      <c r="F10" s="12" t="s">
        <v>7</v>
      </c>
      <c r="G10" s="12" t="s">
        <v>69</v>
      </c>
      <c r="H10" s="12" t="s">
        <v>70</v>
      </c>
      <c r="I10" s="14" t="s">
        <v>3</v>
      </c>
      <c r="J10" s="12"/>
      <c r="K10" s="12"/>
      <c r="L10" s="15" t="s">
        <v>10</v>
      </c>
      <c r="M10" s="16"/>
      <c r="N10" s="17" t="str">
        <f aca="false">IF(M10="","",M10+4)</f>
        <v/>
      </c>
      <c r="O10" s="15"/>
      <c r="P10" s="18" t="str">
        <f aca="false">SUBSTITUTE(SUBSTITUTE(IF(I10="A",Μηνύματα!$B$7,Μηνύματα!$B$8),"{ΚΑΤΑΣΤΗΜΑ}",B10),"{ΟΝΟΜΑ}",Μηνύματα!$B$4)</f>
        <v>Γεια σας! 👋 Είμαι ο/η [Το όνομά σου] από την Anbit (anbit.gr). Μας άρεσε πολύ το Bistro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 customFormat="false" ht="141" hidden="false" customHeight="false" outlineLevel="0" collapsed="false">
      <c r="A11" s="12" t="n">
        <v>7</v>
      </c>
      <c r="B11" s="12" t="s">
        <v>71</v>
      </c>
      <c r="C11" s="12" t="s">
        <v>72</v>
      </c>
      <c r="D11" s="13" t="s">
        <v>45</v>
      </c>
      <c r="E11" s="13" t="s">
        <v>46</v>
      </c>
      <c r="F11" s="12" t="s">
        <v>7</v>
      </c>
      <c r="G11" s="12" t="s">
        <v>56</v>
      </c>
      <c r="H11" s="12" t="s">
        <v>73</v>
      </c>
      <c r="I11" s="14" t="s">
        <v>3</v>
      </c>
      <c r="J11" s="12" t="s">
        <v>74</v>
      </c>
      <c r="K11" s="12"/>
      <c r="L11" s="15" t="s">
        <v>10</v>
      </c>
      <c r="M11" s="16"/>
      <c r="N11" s="17" t="str">
        <f aca="false">IF(M11="","",M11+4)</f>
        <v/>
      </c>
      <c r="O11" s="15"/>
      <c r="P11" s="18" t="str">
        <f aca="false">SUBSTITUTE(SUBSTITUTE(IF(I11="A",Μηνύματα!$B$7,Μηνύματα!$B$8),"{ΚΑΤΑΣΤΗΜΑ}",B11),"{ΟΝΟΜΑ}",Μηνύματα!$B$4)</f>
        <v>Γεια σας! 👋 Είμαι ο/η [Το όνομά σου] από την Anbit (anbit.gr). Μας άρεσε πολύ το Black Duck Museum Bistro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 customFormat="false" ht="141" hidden="false" customHeight="false" outlineLevel="0" collapsed="false">
      <c r="A12" s="12" t="n">
        <v>8</v>
      </c>
      <c r="B12" s="12" t="s">
        <v>75</v>
      </c>
      <c r="C12" s="12" t="s">
        <v>76</v>
      </c>
      <c r="D12" s="13" t="s">
        <v>45</v>
      </c>
      <c r="E12" s="13" t="s">
        <v>46</v>
      </c>
      <c r="F12" s="12" t="s">
        <v>7</v>
      </c>
      <c r="G12" s="12" t="s">
        <v>77</v>
      </c>
      <c r="H12" s="12" t="s">
        <v>78</v>
      </c>
      <c r="I12" s="14" t="s">
        <v>3</v>
      </c>
      <c r="J12" s="12" t="s">
        <v>79</v>
      </c>
      <c r="K12" s="12"/>
      <c r="L12" s="15" t="s">
        <v>10</v>
      </c>
      <c r="M12" s="16"/>
      <c r="N12" s="17" t="str">
        <f aca="false">IF(M12="","",M12+4)</f>
        <v/>
      </c>
      <c r="O12" s="15"/>
      <c r="P12" s="18" t="str">
        <f aca="false">SUBSTITUTE(SUBSTITUTE(IF(I12="A",Μηνύματα!$B$7,Μηνύματα!$B$8),"{ΚΑΤΑΣΤΗΜΑ}",B12),"{ΟΝΟΜΑ}",Μηνύματα!$B$4)</f>
        <v>Γεια σας! 👋 Είμαι ο/η [Το όνομά σου] από την Anbit (anbit.gr). Μας άρεσε πολύ το Branch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 customFormat="false" ht="141" hidden="false" customHeight="false" outlineLevel="0" collapsed="false">
      <c r="A13" s="12" t="n">
        <v>9</v>
      </c>
      <c r="B13" s="12" t="s">
        <v>80</v>
      </c>
      <c r="C13" s="12" t="s">
        <v>81</v>
      </c>
      <c r="D13" s="13" t="s">
        <v>45</v>
      </c>
      <c r="E13" s="13" t="s">
        <v>46</v>
      </c>
      <c r="F13" s="12" t="s">
        <v>7</v>
      </c>
      <c r="G13" s="12" t="s">
        <v>82</v>
      </c>
      <c r="H13" s="12" t="s">
        <v>83</v>
      </c>
      <c r="I13" s="14" t="s">
        <v>3</v>
      </c>
      <c r="J13" s="12"/>
      <c r="K13" s="12"/>
      <c r="L13" s="15" t="s">
        <v>10</v>
      </c>
      <c r="M13" s="16"/>
      <c r="N13" s="17" t="str">
        <f aca="false">IF(M13="","",M13+4)</f>
        <v/>
      </c>
      <c r="O13" s="15"/>
      <c r="P13" s="18" t="str">
        <f aca="false">SUBSTITUTE(SUBSTITUTE(IF(I13="A",Μηνύματα!$B$7,Μηνύματα!$B$8),"{ΚΑΤΑΣΤΗΜΑ}",B13),"{ΟΝΟΜΑ}",Μηνύματα!$B$4)</f>
        <v>Γεια σας! 👋 Είμαι ο/η [Το όνομά σου] από την Anbit (anbit.gr). Μας άρεσε πολύ το Braziliana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 customFormat="false" ht="141" hidden="false" customHeight="false" outlineLevel="0" collapsed="false">
      <c r="A14" s="12" t="n">
        <v>10</v>
      </c>
      <c r="B14" s="12" t="s">
        <v>84</v>
      </c>
      <c r="C14" s="12" t="s">
        <v>85</v>
      </c>
      <c r="D14" s="13" t="s">
        <v>45</v>
      </c>
      <c r="E14" s="13" t="s">
        <v>46</v>
      </c>
      <c r="F14" s="12" t="s">
        <v>7</v>
      </c>
      <c r="G14" s="12" t="s">
        <v>86</v>
      </c>
      <c r="H14" s="12" t="s">
        <v>87</v>
      </c>
      <c r="I14" s="14" t="s">
        <v>3</v>
      </c>
      <c r="J14" s="12" t="s">
        <v>88</v>
      </c>
      <c r="K14" s="12"/>
      <c r="L14" s="15" t="s">
        <v>10</v>
      </c>
      <c r="M14" s="16"/>
      <c r="N14" s="17" t="str">
        <f aca="false">IF(M14="","",M14+4)</f>
        <v/>
      </c>
      <c r="O14" s="15"/>
      <c r="P14" s="18" t="str">
        <f aca="false">SUBSTITUTE(SUBSTITUTE(IF(I14="A",Μηνύματα!$B$7,Μηνύματα!$B$8),"{ΚΑΤΑΣΤΗΜΑ}",B14),"{ΟΝΟΜΑ}",Μηνύματα!$B$4)</f>
        <v>Γεια σας! 👋 Είμαι ο/η [Το όνομά σου] από την Anbit (anbit.gr). Μας άρεσε πολύ το Bunkok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5" customFormat="false" ht="141" hidden="false" customHeight="false" outlineLevel="0" collapsed="false">
      <c r="A15" s="12" t="n">
        <v>11</v>
      </c>
      <c r="B15" s="12" t="s">
        <v>89</v>
      </c>
      <c r="C15" s="12" t="s">
        <v>90</v>
      </c>
      <c r="D15" s="13" t="s">
        <v>45</v>
      </c>
      <c r="E15" s="13" t="s">
        <v>46</v>
      </c>
      <c r="F15" s="12" t="s">
        <v>7</v>
      </c>
      <c r="G15" s="12" t="s">
        <v>91</v>
      </c>
      <c r="H15" s="12" t="s">
        <v>92</v>
      </c>
      <c r="I15" s="14" t="s">
        <v>3</v>
      </c>
      <c r="J15" s="12"/>
      <c r="K15" s="12"/>
      <c r="L15" s="15" t="s">
        <v>10</v>
      </c>
      <c r="M15" s="16"/>
      <c r="N15" s="17" t="str">
        <f aca="false">IF(M15="","",M15+4)</f>
        <v/>
      </c>
      <c r="O15" s="15"/>
      <c r="P15" s="18" t="str">
        <f aca="false">SUBSTITUTE(SUBSTITUTE(IF(I15="A",Μηνύματα!$B$7,Μηνύματα!$B$8),"{ΚΑΤΑΣΤΗΜΑ}",B15),"{ΟΝΟΜΑ}",Μηνύματα!$B$4)</f>
        <v>Γεια σας! 👋 Είμαι ο/η [Το όνομά σου] από την Anbit (anbit.gr). Μας άρεσε πολύ το Coco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6" customFormat="false" ht="141" hidden="false" customHeight="false" outlineLevel="0" collapsed="false">
      <c r="A16" s="12" t="n">
        <v>12</v>
      </c>
      <c r="B16" s="12" t="s">
        <v>93</v>
      </c>
      <c r="C16" s="12" t="s">
        <v>94</v>
      </c>
      <c r="D16" s="13" t="s">
        <v>45</v>
      </c>
      <c r="E16" s="13" t="s">
        <v>46</v>
      </c>
      <c r="F16" s="12" t="s">
        <v>7</v>
      </c>
      <c r="G16" s="12" t="s">
        <v>95</v>
      </c>
      <c r="H16" s="12" t="s">
        <v>66</v>
      </c>
      <c r="I16" s="14" t="s">
        <v>3</v>
      </c>
      <c r="J16" s="12" t="s">
        <v>96</v>
      </c>
      <c r="K16" s="12"/>
      <c r="L16" s="15" t="s">
        <v>10</v>
      </c>
      <c r="M16" s="16"/>
      <c r="N16" s="17" t="str">
        <f aca="false">IF(M16="","",M16+4)</f>
        <v/>
      </c>
      <c r="O16" s="15"/>
      <c r="P16" s="18" t="str">
        <f aca="false">SUBSTITUTE(SUBSTITUTE(IF(I16="A",Μηνύματα!$B$7,Μηνύματα!$B$8),"{ΚΑΤΑΣΤΗΜΑ}",B16),"{ΟΝΟΜΑ}",Μηνύματα!$B$4)</f>
        <v>Γεια σας! 👋 Είμαι ο/η [Το όνομά σου] από την Anbit (anbit.gr). Μας άρεσε πολύ το Coffee N Roses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7" customFormat="false" ht="141" hidden="false" customHeight="false" outlineLevel="0" collapsed="false">
      <c r="A17" s="12" t="n">
        <v>13</v>
      </c>
      <c r="B17" s="12" t="s">
        <v>97</v>
      </c>
      <c r="C17" s="12" t="s">
        <v>98</v>
      </c>
      <c r="D17" s="13" t="s">
        <v>45</v>
      </c>
      <c r="E17" s="13" t="s">
        <v>46</v>
      </c>
      <c r="F17" s="12" t="s">
        <v>7</v>
      </c>
      <c r="G17" s="12" t="s">
        <v>99</v>
      </c>
      <c r="H17" s="12" t="s">
        <v>100</v>
      </c>
      <c r="I17" s="14" t="s">
        <v>3</v>
      </c>
      <c r="J17" s="12" t="s">
        <v>101</v>
      </c>
      <c r="K17" s="12"/>
      <c r="L17" s="15" t="s">
        <v>10</v>
      </c>
      <c r="M17" s="16"/>
      <c r="N17" s="17" t="str">
        <f aca="false">IF(M17="","",M17+4)</f>
        <v/>
      </c>
      <c r="O17" s="15"/>
      <c r="P17" s="18" t="str">
        <f aca="false">SUBSTITUTE(SUBSTITUTE(IF(I17="A",Μηνύματα!$B$7,Μηνύματα!$B$8),"{ΚΑΤΑΣΤΗΜΑ}",B17),"{ΟΝΟΜΑ}",Μηνύματα!$B$4)</f>
        <v>Γεια σας! 👋 Είμαι ο/η [Το όνομά σου] από την Anbit (anbit.gr). Μας άρεσε πολύ το Colonial Glyfada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8" customFormat="false" ht="141" hidden="false" customHeight="false" outlineLevel="0" collapsed="false">
      <c r="A18" s="12" t="n">
        <v>14</v>
      </c>
      <c r="B18" s="12" t="s">
        <v>102</v>
      </c>
      <c r="C18" s="12" t="s">
        <v>103</v>
      </c>
      <c r="D18" s="13" t="s">
        <v>45</v>
      </c>
      <c r="E18" s="13" t="s">
        <v>46</v>
      </c>
      <c r="F18" s="12" t="s">
        <v>7</v>
      </c>
      <c r="G18" s="12" t="s">
        <v>86</v>
      </c>
      <c r="H18" s="12" t="s">
        <v>104</v>
      </c>
      <c r="I18" s="14" t="s">
        <v>3</v>
      </c>
      <c r="J18" s="12"/>
      <c r="K18" s="19" t="s">
        <v>105</v>
      </c>
      <c r="L18" s="15" t="s">
        <v>10</v>
      </c>
      <c r="M18" s="16"/>
      <c r="N18" s="17" t="str">
        <f aca="false">IF(M18="","",M18+4)</f>
        <v/>
      </c>
      <c r="O18" s="15"/>
      <c r="P18" s="18" t="str">
        <f aca="false">SUBSTITUTE(SUBSTITUTE(IF(I18="A",Μηνύματα!$B$7,Μηνύματα!$B$8),"{ΚΑΤΑΣΤΗΜΑ}",B18),"{ΟΝΟΜΑ}",Μηνύματα!$B$4)</f>
        <v>Γεια σας! 👋 Είμαι ο/η [Το όνομά σου] από την Anbit (anbit.gr). Μας άρεσε πολύ το El Sito Coffee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9" customFormat="false" ht="141" hidden="false" customHeight="false" outlineLevel="0" collapsed="false">
      <c r="A19" s="12" t="n">
        <v>15</v>
      </c>
      <c r="B19" s="12" t="s">
        <v>106</v>
      </c>
      <c r="C19" s="12" t="s">
        <v>107</v>
      </c>
      <c r="D19" s="13" t="s">
        <v>45</v>
      </c>
      <c r="E19" s="13" t="s">
        <v>46</v>
      </c>
      <c r="F19" s="12" t="s">
        <v>7</v>
      </c>
      <c r="G19" s="12"/>
      <c r="H19" s="12" t="s">
        <v>108</v>
      </c>
      <c r="I19" s="14" t="s">
        <v>3</v>
      </c>
      <c r="J19" s="12" t="s">
        <v>109</v>
      </c>
      <c r="K19" s="19" t="s">
        <v>105</v>
      </c>
      <c r="L19" s="15" t="s">
        <v>10</v>
      </c>
      <c r="M19" s="16"/>
      <c r="N19" s="17" t="str">
        <f aca="false">IF(M19="","",M19+4)</f>
        <v/>
      </c>
      <c r="O19" s="15"/>
      <c r="P19" s="18" t="str">
        <f aca="false">SUBSTITUTE(SUBSTITUTE(IF(I19="A",Μηνύματα!$B$7,Μηνύματα!$B$8),"{ΚΑΤΑΣΤΗΜΑ}",B19),"{ΟΝΟΜΑ}",Μηνύματα!$B$4)</f>
        <v>Γεια σας! 👋 Είμαι ο/η [Το όνομά σου] από την Anbit (anbit.gr). Μας άρεσε πολύ το Espressaki Café Bistro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0" customFormat="false" ht="141" hidden="false" customHeight="false" outlineLevel="0" collapsed="false">
      <c r="A20" s="12" t="n">
        <v>16</v>
      </c>
      <c r="B20" s="12" t="s">
        <v>110</v>
      </c>
      <c r="C20" s="12" t="s">
        <v>111</v>
      </c>
      <c r="D20" s="13" t="s">
        <v>45</v>
      </c>
      <c r="E20" s="13" t="s">
        <v>46</v>
      </c>
      <c r="F20" s="12" t="s">
        <v>7</v>
      </c>
      <c r="G20" s="12"/>
      <c r="H20" s="12" t="s">
        <v>112</v>
      </c>
      <c r="I20" s="14" t="s">
        <v>3</v>
      </c>
      <c r="J20" s="12"/>
      <c r="K20" s="19" t="s">
        <v>105</v>
      </c>
      <c r="L20" s="15" t="s">
        <v>10</v>
      </c>
      <c r="M20" s="16"/>
      <c r="N20" s="17" t="str">
        <f aca="false">IF(M20="","",M20+4)</f>
        <v/>
      </c>
      <c r="O20" s="15"/>
      <c r="P20" s="18" t="str">
        <f aca="false">SUBSTITUTE(SUBSTITUTE(IF(I20="A",Μηνύματα!$B$7,Μηνύματα!$B$8),"{ΚΑΤΑΣΤΗΜΑ}",B20),"{ΟΝΟΜΑ}",Μηνύματα!$B$4)</f>
        <v>Γεια σας! 👋 Είμαι ο/η [Το όνομά σου] από την Anbit (anbit.gr). Μας άρεσε πολύ το Favela All Day Bar Restaurant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1" customFormat="false" ht="141" hidden="false" customHeight="false" outlineLevel="0" collapsed="false">
      <c r="A21" s="12" t="n">
        <v>17</v>
      </c>
      <c r="B21" s="12" t="s">
        <v>113</v>
      </c>
      <c r="C21" s="12" t="s">
        <v>114</v>
      </c>
      <c r="D21" s="13" t="s">
        <v>45</v>
      </c>
      <c r="E21" s="13" t="s">
        <v>46</v>
      </c>
      <c r="F21" s="12" t="s">
        <v>7</v>
      </c>
      <c r="G21" s="12"/>
      <c r="H21" s="12" t="s">
        <v>115</v>
      </c>
      <c r="I21" s="14" t="s">
        <v>3</v>
      </c>
      <c r="J21" s="12" t="s">
        <v>116</v>
      </c>
      <c r="K21" s="19" t="s">
        <v>105</v>
      </c>
      <c r="L21" s="15" t="s">
        <v>10</v>
      </c>
      <c r="M21" s="16"/>
      <c r="N21" s="17" t="str">
        <f aca="false">IF(M21="","",M21+4)</f>
        <v/>
      </c>
      <c r="O21" s="15"/>
      <c r="P21" s="18" t="str">
        <f aca="false">SUBSTITUTE(SUBSTITUTE(IF(I21="A",Μηνύματα!$B$7,Μηνύματα!$B$8),"{ΚΑΤΑΣΤΗΜΑ}",B21),"{ΟΝΟΜΑ}",Μηνύματα!$B$4)</f>
        <v>Γεια σας! 👋 Είμαι ο/η [Το όνομά σου] από την Anbit (anbit.gr). Μας άρεσε πολύ το Flavour Business Resto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2" customFormat="false" ht="141" hidden="false" customHeight="false" outlineLevel="0" collapsed="false">
      <c r="A22" s="12" t="n">
        <v>18</v>
      </c>
      <c r="B22" s="12" t="s">
        <v>117</v>
      </c>
      <c r="C22" s="12" t="s">
        <v>118</v>
      </c>
      <c r="D22" s="13" t="s">
        <v>45</v>
      </c>
      <c r="E22" s="13" t="s">
        <v>46</v>
      </c>
      <c r="F22" s="12" t="s">
        <v>7</v>
      </c>
      <c r="G22" s="12"/>
      <c r="H22" s="12" t="s">
        <v>119</v>
      </c>
      <c r="I22" s="14" t="s">
        <v>3</v>
      </c>
      <c r="J22" s="12"/>
      <c r="K22" s="19" t="s">
        <v>105</v>
      </c>
      <c r="L22" s="15" t="s">
        <v>10</v>
      </c>
      <c r="M22" s="16"/>
      <c r="N22" s="17" t="str">
        <f aca="false">IF(M22="","",M22+4)</f>
        <v/>
      </c>
      <c r="O22" s="15"/>
      <c r="P22" s="18" t="str">
        <f aca="false">SUBSTITUTE(SUBSTITUTE(IF(I22="A",Μηνύματα!$B$7,Μηνύματα!$B$8),"{ΚΑΤΑΣΤΗΜΑ}",B22),"{ΟΝΟΜΑ}",Μηνύματα!$B$4)</f>
        <v>Γεια σας! 👋 Είμαι ο/η [Το όνομά σου] από την Anbit (anbit.gr). Μας άρεσε πολύ το G Cafe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3" customFormat="false" ht="141" hidden="false" customHeight="false" outlineLevel="0" collapsed="false">
      <c r="A23" s="12" t="n">
        <v>19</v>
      </c>
      <c r="B23" s="12" t="s">
        <v>120</v>
      </c>
      <c r="C23" s="12" t="s">
        <v>121</v>
      </c>
      <c r="D23" s="13" t="s">
        <v>45</v>
      </c>
      <c r="E23" s="13" t="s">
        <v>46</v>
      </c>
      <c r="F23" s="12" t="s">
        <v>7</v>
      </c>
      <c r="G23" s="12" t="s">
        <v>122</v>
      </c>
      <c r="H23" s="12" t="s">
        <v>66</v>
      </c>
      <c r="I23" s="14" t="s">
        <v>3</v>
      </c>
      <c r="J23" s="12" t="s">
        <v>123</v>
      </c>
      <c r="K23" s="12"/>
      <c r="L23" s="15" t="s">
        <v>10</v>
      </c>
      <c r="M23" s="16"/>
      <c r="N23" s="17" t="str">
        <f aca="false">IF(M23="","",M23+4)</f>
        <v/>
      </c>
      <c r="O23" s="15"/>
      <c r="P23" s="18" t="str">
        <f aca="false">SUBSTITUTE(SUBSTITUTE(IF(I23="A",Μηνύματα!$B$7,Μηνύματα!$B$8),"{ΚΑΤΑΣΤΗΜΑ}",B23),"{ΟΝΟΜΑ}",Μηνύματα!$B$4)</f>
        <v>Γεια σας! 👋 Είμαι ο/η [Το όνομά σου] από την Anbit (anbit.gr). Μας άρεσε πολύ το Genesis Coffee Spot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4" customFormat="false" ht="141" hidden="false" customHeight="false" outlineLevel="0" collapsed="false">
      <c r="A24" s="12" t="n">
        <v>20</v>
      </c>
      <c r="B24" s="12" t="s">
        <v>124</v>
      </c>
      <c r="C24" s="12" t="s">
        <v>125</v>
      </c>
      <c r="D24" s="13" t="s">
        <v>45</v>
      </c>
      <c r="E24" s="13" t="s">
        <v>46</v>
      </c>
      <c r="F24" s="12" t="s">
        <v>7</v>
      </c>
      <c r="G24" s="12" t="s">
        <v>126</v>
      </c>
      <c r="H24" s="12" t="s">
        <v>127</v>
      </c>
      <c r="I24" s="14" t="s">
        <v>3</v>
      </c>
      <c r="J24" s="12" t="s">
        <v>128</v>
      </c>
      <c r="K24" s="12"/>
      <c r="L24" s="15" t="s">
        <v>10</v>
      </c>
      <c r="M24" s="16"/>
      <c r="N24" s="17" t="str">
        <f aca="false">IF(M24="","",M24+4)</f>
        <v/>
      </c>
      <c r="O24" s="15"/>
      <c r="P24" s="18" t="str">
        <f aca="false">SUBSTITUTE(SUBSTITUTE(IF(I24="A",Μηνύματα!$B$7,Μηνύματα!$B$8),"{ΚΑΤΑΣΤΗΜΑ}",B24),"{ΟΝΟΜΑ}",Μηνύματα!$B$4)</f>
        <v>Γεια σας! 👋 Είμαι ο/η [Το όνομά σου] από την Anbit (anbit.gr). Μας άρεσε πολύ το HUUS Kaffe Fokionos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5" customFormat="false" ht="141" hidden="false" customHeight="false" outlineLevel="0" collapsed="false">
      <c r="A25" s="12" t="n">
        <v>21</v>
      </c>
      <c r="B25" s="12" t="s">
        <v>129</v>
      </c>
      <c r="C25" s="12" t="s">
        <v>130</v>
      </c>
      <c r="D25" s="13" t="s">
        <v>45</v>
      </c>
      <c r="E25" s="13" t="s">
        <v>46</v>
      </c>
      <c r="F25" s="12" t="s">
        <v>7</v>
      </c>
      <c r="G25" s="12" t="s">
        <v>131</v>
      </c>
      <c r="H25" s="12" t="s">
        <v>132</v>
      </c>
      <c r="I25" s="14" t="s">
        <v>3</v>
      </c>
      <c r="J25" s="12"/>
      <c r="K25" s="12"/>
      <c r="L25" s="15" t="s">
        <v>10</v>
      </c>
      <c r="M25" s="16"/>
      <c r="N25" s="17" t="str">
        <f aca="false">IF(M25="","",M25+4)</f>
        <v/>
      </c>
      <c r="O25" s="15"/>
      <c r="P25" s="18" t="str">
        <f aca="false">SUBSTITUTE(SUBSTITUTE(IF(I25="A",Μηνύματα!$B$7,Μηνύματα!$B$8),"{ΚΑΤΑΣΤΗΜΑ}",B25),"{ΟΝΟΜΑ}",Μηνύματα!$B$4)</f>
        <v>Γεια σας! 👋 Είμαι ο/η [Το όνομά σου] από την Anbit (anbit.gr). Μας άρεσε πολύ το I Cafe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6" customFormat="false" ht="141" hidden="false" customHeight="false" outlineLevel="0" collapsed="false">
      <c r="A26" s="12" t="n">
        <v>22</v>
      </c>
      <c r="B26" s="12" t="s">
        <v>133</v>
      </c>
      <c r="C26" s="12" t="s">
        <v>134</v>
      </c>
      <c r="D26" s="13" t="s">
        <v>45</v>
      </c>
      <c r="E26" s="13" t="s">
        <v>46</v>
      </c>
      <c r="F26" s="12" t="s">
        <v>7</v>
      </c>
      <c r="G26" s="12" t="s">
        <v>135</v>
      </c>
      <c r="H26" s="12" t="s">
        <v>136</v>
      </c>
      <c r="I26" s="14" t="s">
        <v>3</v>
      </c>
      <c r="J26" s="12"/>
      <c r="K26" s="12"/>
      <c r="L26" s="15" t="s">
        <v>10</v>
      </c>
      <c r="M26" s="16"/>
      <c r="N26" s="17" t="str">
        <f aca="false">IF(M26="","",M26+4)</f>
        <v/>
      </c>
      <c r="O26" s="15"/>
      <c r="P26" s="18" t="str">
        <f aca="false">SUBSTITUTE(SUBSTITUTE(IF(I26="A",Μηνύματα!$B$7,Μηνύματα!$B$8),"{ΚΑΤΑΣΤΗΜΑ}",B26),"{ΟΝΟΜΑ}",Μηνύματα!$B$4)</f>
        <v>Γεια σας! 👋 Είμαι ο/η [Το όνομά σου] από την Anbit (anbit.gr). Μας άρεσε πολύ το JOJO espresso &amp;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7" customFormat="false" ht="141" hidden="false" customHeight="false" outlineLevel="0" collapsed="false">
      <c r="A27" s="12" t="n">
        <v>23</v>
      </c>
      <c r="B27" s="12" t="s">
        <v>137</v>
      </c>
      <c r="C27" s="12" t="s">
        <v>138</v>
      </c>
      <c r="D27" s="13" t="s">
        <v>45</v>
      </c>
      <c r="E27" s="13" t="s">
        <v>46</v>
      </c>
      <c r="F27" s="12" t="s">
        <v>7</v>
      </c>
      <c r="G27" s="12"/>
      <c r="H27" s="12" t="s">
        <v>139</v>
      </c>
      <c r="I27" s="14" t="s">
        <v>3</v>
      </c>
      <c r="J27" s="12"/>
      <c r="K27" s="19" t="s">
        <v>105</v>
      </c>
      <c r="L27" s="15" t="s">
        <v>10</v>
      </c>
      <c r="M27" s="16"/>
      <c r="N27" s="17" t="str">
        <f aca="false">IF(M27="","",M27+4)</f>
        <v/>
      </c>
      <c r="O27" s="15"/>
      <c r="P27" s="18" t="str">
        <f aca="false">SUBSTITUTE(SUBSTITUTE(IF(I27="A",Μηνύματα!$B$7,Μηνύματα!$B$8),"{ΚΑΤΑΣΤΗΜΑ}",B27),"{ΟΝΟΜΑ}",Μηνύματα!$B$4)</f>
        <v>Γεια σας! 👋 Είμαι ο/η [Το όνομά σου] από την Anbit (anbit.gr). Μας άρεσε πολύ το Kalimeres Bistro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8" customFormat="false" ht="141" hidden="false" customHeight="false" outlineLevel="0" collapsed="false">
      <c r="A28" s="12" t="n">
        <v>24</v>
      </c>
      <c r="B28" s="12" t="s">
        <v>140</v>
      </c>
      <c r="C28" s="12" t="s">
        <v>141</v>
      </c>
      <c r="D28" s="13" t="s">
        <v>45</v>
      </c>
      <c r="E28" s="13" t="s">
        <v>46</v>
      </c>
      <c r="F28" s="12" t="s">
        <v>7</v>
      </c>
      <c r="G28" s="12" t="s">
        <v>142</v>
      </c>
      <c r="H28" s="12" t="s">
        <v>143</v>
      </c>
      <c r="I28" s="14" t="s">
        <v>3</v>
      </c>
      <c r="J28" s="12" t="s">
        <v>144</v>
      </c>
      <c r="K28" s="12"/>
      <c r="L28" s="15" t="s">
        <v>10</v>
      </c>
      <c r="M28" s="16"/>
      <c r="N28" s="17" t="str">
        <f aca="false">IF(M28="","",M28+4)</f>
        <v/>
      </c>
      <c r="O28" s="15"/>
      <c r="P28" s="18" t="str">
        <f aca="false">SUBSTITUTE(SUBSTITUTE(IF(I28="A",Μηνύματα!$B$7,Μηνύματα!$B$8),"{ΚΑΤΑΣΤΗΜΑ}",B28),"{ΟΝΟΜΑ}",Μηνύματα!$B$4)</f>
        <v>Γεια σας! 👋 Είμαι ο/η [Το όνομά σου] από την Anbit (anbit.gr). Μας άρεσε πολύ το Korne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29" customFormat="false" ht="141" hidden="false" customHeight="false" outlineLevel="0" collapsed="false">
      <c r="A29" s="12" t="n">
        <v>25</v>
      </c>
      <c r="B29" s="12" t="s">
        <v>145</v>
      </c>
      <c r="C29" s="12" t="s">
        <v>146</v>
      </c>
      <c r="D29" s="13" t="s">
        <v>45</v>
      </c>
      <c r="E29" s="13" t="s">
        <v>46</v>
      </c>
      <c r="F29" s="12" t="s">
        <v>7</v>
      </c>
      <c r="G29" s="12" t="s">
        <v>147</v>
      </c>
      <c r="H29" s="12" t="s">
        <v>148</v>
      </c>
      <c r="I29" s="14" t="s">
        <v>3</v>
      </c>
      <c r="J29" s="12" t="s">
        <v>149</v>
      </c>
      <c r="K29" s="12"/>
      <c r="L29" s="15" t="s">
        <v>10</v>
      </c>
      <c r="M29" s="16"/>
      <c r="N29" s="17" t="str">
        <f aca="false">IF(M29="","",M29+4)</f>
        <v/>
      </c>
      <c r="O29" s="15"/>
      <c r="P29" s="18" t="str">
        <f aca="false">SUBSTITUTE(SUBSTITUTE(IF(I29="A",Μηνύματα!$B$7,Μηνύματα!$B$8),"{ΚΑΤΑΣΤΗΜΑ}",B29),"{ΟΝΟΜΑ}",Μηνύματα!$B$4)</f>
        <v>Γεια σας! 👋 Είμαι ο/η [Το όνομά σου] από την Anbit (anbit.gr). Μας άρεσε πολύ το Kupato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0" customFormat="false" ht="141" hidden="false" customHeight="false" outlineLevel="0" collapsed="false">
      <c r="A30" s="12" t="n">
        <v>26</v>
      </c>
      <c r="B30" s="12" t="s">
        <v>150</v>
      </c>
      <c r="C30" s="12" t="s">
        <v>151</v>
      </c>
      <c r="D30" s="13" t="s">
        <v>45</v>
      </c>
      <c r="E30" s="13" t="s">
        <v>46</v>
      </c>
      <c r="F30" s="12" t="s">
        <v>7</v>
      </c>
      <c r="G30" s="12" t="s">
        <v>152</v>
      </c>
      <c r="H30" s="12" t="s">
        <v>127</v>
      </c>
      <c r="I30" s="14" t="s">
        <v>3</v>
      </c>
      <c r="J30" s="12" t="s">
        <v>153</v>
      </c>
      <c r="K30" s="12"/>
      <c r="L30" s="15" t="s">
        <v>10</v>
      </c>
      <c r="M30" s="16"/>
      <c r="N30" s="17" t="str">
        <f aca="false">IF(M30="","",M30+4)</f>
        <v/>
      </c>
      <c r="O30" s="15"/>
      <c r="P30" s="18" t="str">
        <f aca="false">SUBSTITUTE(SUBSTITUTE(IF(I30="A",Μηνύματα!$B$7,Μηνύματα!$B$8),"{ΚΑΤΑΣΤΗΜΑ}",B30),"{ΟΝΟΜΑ}",Μηνύματα!$B$4)</f>
        <v>Γεια σας! 👋 Είμαι ο/η [Το όνομά σου] από την Anbit (anbit.gr). Μας άρεσε πολύ το Level Up Specialty Coffee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1" customFormat="false" ht="141" hidden="false" customHeight="false" outlineLevel="0" collapsed="false">
      <c r="A31" s="12" t="n">
        <v>27</v>
      </c>
      <c r="B31" s="12" t="s">
        <v>154</v>
      </c>
      <c r="C31" s="12" t="s">
        <v>155</v>
      </c>
      <c r="D31" s="13" t="s">
        <v>45</v>
      </c>
      <c r="E31" s="13" t="s">
        <v>46</v>
      </c>
      <c r="F31" s="12" t="s">
        <v>7</v>
      </c>
      <c r="G31" s="12" t="s">
        <v>156</v>
      </c>
      <c r="H31" s="12" t="s">
        <v>157</v>
      </c>
      <c r="I31" s="14" t="s">
        <v>3</v>
      </c>
      <c r="J31" s="12"/>
      <c r="K31" s="12"/>
      <c r="L31" s="15" t="s">
        <v>10</v>
      </c>
      <c r="M31" s="16"/>
      <c r="N31" s="17" t="str">
        <f aca="false">IF(M31="","",M31+4)</f>
        <v/>
      </c>
      <c r="O31" s="15"/>
      <c r="P31" s="18" t="str">
        <f aca="false">SUBSTITUTE(SUBSTITUTE(IF(I31="A",Μηνύματα!$B$7,Μηνύματα!$B$8),"{ΚΑΤΑΣΤΗΜΑ}",B31),"{ΟΝΟΜΑ}",Μηνύματα!$B$4)</f>
        <v>Γεια σας! 👋 Είμαι ο/η [Το όνομά σου] από την Anbit (anbit.gr). Μας άρεσε πολύ το LIBERTY Cafè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2" customFormat="false" ht="141" hidden="false" customHeight="false" outlineLevel="0" collapsed="false">
      <c r="A32" s="12" t="n">
        <v>28</v>
      </c>
      <c r="B32" s="12" t="s">
        <v>158</v>
      </c>
      <c r="C32" s="12" t="s">
        <v>159</v>
      </c>
      <c r="D32" s="13" t="s">
        <v>45</v>
      </c>
      <c r="E32" s="13" t="s">
        <v>46</v>
      </c>
      <c r="F32" s="12" t="s">
        <v>7</v>
      </c>
      <c r="G32" s="12" t="s">
        <v>160</v>
      </c>
      <c r="H32" s="12" t="s">
        <v>132</v>
      </c>
      <c r="I32" s="14" t="s">
        <v>3</v>
      </c>
      <c r="J32" s="12" t="s">
        <v>161</v>
      </c>
      <c r="K32" s="12"/>
      <c r="L32" s="15" t="s">
        <v>10</v>
      </c>
      <c r="M32" s="16"/>
      <c r="N32" s="17" t="str">
        <f aca="false">IF(M32="","",M32+4)</f>
        <v/>
      </c>
      <c r="O32" s="15"/>
      <c r="P32" s="18" t="str">
        <f aca="false">SUBSTITUTE(SUBSTITUTE(IF(I32="A",Μηνύματα!$B$7,Μηνύματα!$B$8),"{ΚΑΤΑΣΤΗΜΑ}",B32),"{ΟΝΟΜΑ}",Μηνύματα!$B$4)</f>
        <v>Γεια σας! 👋 Είμαι ο/η [Το όνομά σου] από την Anbit (anbit.gr). Μας άρεσε πολύ το Local Cafe-Bar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3" customFormat="false" ht="141" hidden="false" customHeight="false" outlineLevel="0" collapsed="false">
      <c r="A33" s="12" t="n">
        <v>29</v>
      </c>
      <c r="B33" s="12" t="s">
        <v>162</v>
      </c>
      <c r="C33" s="12" t="s">
        <v>163</v>
      </c>
      <c r="D33" s="13" t="s">
        <v>45</v>
      </c>
      <c r="E33" s="13" t="s">
        <v>46</v>
      </c>
      <c r="F33" s="12" t="s">
        <v>7</v>
      </c>
      <c r="G33" s="12" t="s">
        <v>164</v>
      </c>
      <c r="H33" s="12" t="s">
        <v>119</v>
      </c>
      <c r="I33" s="14" t="s">
        <v>3</v>
      </c>
      <c r="J33" s="12"/>
      <c r="K33" s="12"/>
      <c r="L33" s="15" t="s">
        <v>10</v>
      </c>
      <c r="M33" s="16"/>
      <c r="N33" s="17" t="str">
        <f aca="false">IF(M33="","",M33+4)</f>
        <v/>
      </c>
      <c r="O33" s="15"/>
      <c r="P33" s="18" t="str">
        <f aca="false">SUBSTITUTE(SUBSTITUTE(IF(I33="A",Μηνύματα!$B$7,Μηνύματα!$B$8),"{ΚΑΤΑΣΤΗΜΑ}",B33),"{ΟΝΟΜΑ}",Μηνύματα!$B$4)</f>
        <v>Γεια σας! 👋 Είμαι ο/η [Το όνομά σου] από την Anbit (anbit.gr). Μας άρεσε πολύ το Lola Cafe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4" customFormat="false" ht="141" hidden="false" customHeight="false" outlineLevel="0" collapsed="false">
      <c r="A34" s="12" t="n">
        <v>30</v>
      </c>
      <c r="B34" s="12" t="s">
        <v>165</v>
      </c>
      <c r="C34" s="12" t="s">
        <v>166</v>
      </c>
      <c r="D34" s="13" t="s">
        <v>45</v>
      </c>
      <c r="E34" s="13" t="s">
        <v>46</v>
      </c>
      <c r="F34" s="12" t="s">
        <v>7</v>
      </c>
      <c r="G34" s="12"/>
      <c r="H34" s="12" t="s">
        <v>167</v>
      </c>
      <c r="I34" s="14" t="s">
        <v>3</v>
      </c>
      <c r="J34" s="12" t="s">
        <v>168</v>
      </c>
      <c r="K34" s="19" t="s">
        <v>105</v>
      </c>
      <c r="L34" s="15" t="s">
        <v>10</v>
      </c>
      <c r="M34" s="16"/>
      <c r="N34" s="17" t="str">
        <f aca="false">IF(M34="","",M34+4)</f>
        <v/>
      </c>
      <c r="O34" s="15"/>
      <c r="P34" s="18" t="str">
        <f aca="false">SUBSTITUTE(SUBSTITUTE(IF(I34="A",Μηνύματα!$B$7,Μηνύματα!$B$8),"{ΚΑΤΑΣΤΗΜΑ}",B34),"{ΟΝΟΜΑ}",Μηνύματα!$B$4)</f>
        <v>Γεια σας! 👋 Είμαι ο/η [Το όνομά σου] από την Anbit (anbit.gr). Μας άρεσε πολύ το Madeira Cafe &amp;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5" customFormat="false" ht="141" hidden="false" customHeight="false" outlineLevel="0" collapsed="false">
      <c r="A35" s="12" t="n">
        <v>31</v>
      </c>
      <c r="B35" s="12" t="s">
        <v>169</v>
      </c>
      <c r="C35" s="12" t="s">
        <v>170</v>
      </c>
      <c r="D35" s="13" t="s">
        <v>45</v>
      </c>
      <c r="E35" s="13" t="s">
        <v>46</v>
      </c>
      <c r="F35" s="12" t="s">
        <v>7</v>
      </c>
      <c r="G35" s="12" t="s">
        <v>171</v>
      </c>
      <c r="H35" s="12" t="s">
        <v>132</v>
      </c>
      <c r="I35" s="14" t="s">
        <v>3</v>
      </c>
      <c r="J35" s="12"/>
      <c r="K35" s="12"/>
      <c r="L35" s="15" t="s">
        <v>10</v>
      </c>
      <c r="M35" s="16"/>
      <c r="N35" s="17" t="str">
        <f aca="false">IF(M35="","",M35+4)</f>
        <v/>
      </c>
      <c r="O35" s="15"/>
      <c r="P35" s="18" t="str">
        <f aca="false">SUBSTITUTE(SUBSTITUTE(IF(I35="A",Μηνύματα!$B$7,Μηνύματα!$B$8),"{ΚΑΤΑΣΤΗΜΑ}",B35),"{ΟΝΟΜΑ}",Μηνύματα!$B$4)</f>
        <v>Γεια σας! 👋 Είμαι ο/η [Το όνομά σου] από την Anbit (anbit.gr). Μας άρεσε πολύ το Medez Cafe &amp;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6" customFormat="false" ht="141" hidden="false" customHeight="false" outlineLevel="0" collapsed="false">
      <c r="A36" s="12" t="n">
        <v>32</v>
      </c>
      <c r="B36" s="12" t="s">
        <v>172</v>
      </c>
      <c r="C36" s="12" t="s">
        <v>173</v>
      </c>
      <c r="D36" s="13" t="s">
        <v>45</v>
      </c>
      <c r="E36" s="13" t="s">
        <v>46</v>
      </c>
      <c r="F36" s="12" t="s">
        <v>7</v>
      </c>
      <c r="G36" s="12" t="s">
        <v>174</v>
      </c>
      <c r="H36" s="12" t="s">
        <v>175</v>
      </c>
      <c r="I36" s="14" t="s">
        <v>3</v>
      </c>
      <c r="J36" s="12" t="s">
        <v>176</v>
      </c>
      <c r="K36" s="12"/>
      <c r="L36" s="15" t="s">
        <v>10</v>
      </c>
      <c r="M36" s="16"/>
      <c r="N36" s="17" t="str">
        <f aca="false">IF(M36="","",M36+4)</f>
        <v/>
      </c>
      <c r="O36" s="15"/>
      <c r="P36" s="18" t="str">
        <f aca="false">SUBSTITUTE(SUBSTITUTE(IF(I36="A",Μηνύματα!$B$7,Μηνύματα!$B$8),"{ΚΑΤΑΣΤΗΜΑ}",B36),"{ΟΝΟΜΑ}",Μηνύματα!$B$4)</f>
        <v>Γεια σας! 👋 Είμαι ο/η [Το όνομά σου] από την Anbit (anbit.gr). Μας άρεσε πολύ το Menta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7" customFormat="false" ht="141" hidden="false" customHeight="false" outlineLevel="0" collapsed="false">
      <c r="A37" s="12" t="n">
        <v>33</v>
      </c>
      <c r="B37" s="12" t="s">
        <v>177</v>
      </c>
      <c r="C37" s="12" t="s">
        <v>178</v>
      </c>
      <c r="D37" s="13" t="s">
        <v>45</v>
      </c>
      <c r="E37" s="13" t="s">
        <v>46</v>
      </c>
      <c r="F37" s="12" t="s">
        <v>7</v>
      </c>
      <c r="G37" s="12"/>
      <c r="H37" s="12" t="s">
        <v>127</v>
      </c>
      <c r="I37" s="14" t="s">
        <v>3</v>
      </c>
      <c r="J37" s="12"/>
      <c r="K37" s="19" t="s">
        <v>105</v>
      </c>
      <c r="L37" s="15" t="s">
        <v>10</v>
      </c>
      <c r="M37" s="16"/>
      <c r="N37" s="17" t="str">
        <f aca="false">IF(M37="","",M37+4)</f>
        <v/>
      </c>
      <c r="O37" s="15"/>
      <c r="P37" s="18" t="str">
        <f aca="false">SUBSTITUTE(SUBSTITUTE(IF(I37="A",Μηνύματα!$B$7,Μηνύματα!$B$8),"{ΚΑΤΑΣΤΗΜΑ}",B37),"{ΟΝΟΜΑ}",Μηνύματα!$B$4)</f>
        <v>Γεια σας! 👋 Είμαι ο/η [Το όνομά σου] από την Anbit (anbit.gr). Μας άρεσε πολύ το MOKKA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8" customFormat="false" ht="141" hidden="false" customHeight="false" outlineLevel="0" collapsed="false">
      <c r="A38" s="12" t="n">
        <v>34</v>
      </c>
      <c r="B38" s="12" t="s">
        <v>179</v>
      </c>
      <c r="C38" s="12" t="s">
        <v>180</v>
      </c>
      <c r="D38" s="13" t="s">
        <v>45</v>
      </c>
      <c r="E38" s="13" t="s">
        <v>46</v>
      </c>
      <c r="F38" s="12" t="s">
        <v>7</v>
      </c>
      <c r="G38" s="12" t="s">
        <v>171</v>
      </c>
      <c r="H38" s="12" t="s">
        <v>181</v>
      </c>
      <c r="I38" s="14" t="s">
        <v>3</v>
      </c>
      <c r="J38" s="12" t="s">
        <v>182</v>
      </c>
      <c r="K38" s="12"/>
      <c r="L38" s="15" t="s">
        <v>10</v>
      </c>
      <c r="M38" s="16"/>
      <c r="N38" s="17" t="str">
        <f aca="false">IF(M38="","",M38+4)</f>
        <v/>
      </c>
      <c r="O38" s="15"/>
      <c r="P38" s="18" t="str">
        <f aca="false">SUBSTITUTE(SUBSTITUTE(IF(I38="A",Μηνύματα!$B$7,Μηνύματα!$B$8),"{ΚΑΤΑΣΤΗΜΑ}",B38),"{ΟΝΟΜΑ}",Μηνύματα!$B$4)</f>
        <v>Γεια σας! 👋 Είμαι ο/η [Το όνομά σου] από την Anbit (anbit.gr). Μας άρεσε πολύ το Morning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39" customFormat="false" ht="141" hidden="false" customHeight="false" outlineLevel="0" collapsed="false">
      <c r="A39" s="12" t="n">
        <v>35</v>
      </c>
      <c r="B39" s="12" t="s">
        <v>183</v>
      </c>
      <c r="C39" s="12" t="s">
        <v>184</v>
      </c>
      <c r="D39" s="13" t="s">
        <v>45</v>
      </c>
      <c r="E39" s="13" t="s">
        <v>46</v>
      </c>
      <c r="F39" s="12" t="s">
        <v>7</v>
      </c>
      <c r="G39" s="12" t="s">
        <v>185</v>
      </c>
      <c r="H39" s="12" t="s">
        <v>186</v>
      </c>
      <c r="I39" s="14" t="s">
        <v>3</v>
      </c>
      <c r="J39" s="12" t="s">
        <v>187</v>
      </c>
      <c r="K39" s="12"/>
      <c r="L39" s="15" t="s">
        <v>10</v>
      </c>
      <c r="M39" s="16"/>
      <c r="N39" s="17" t="str">
        <f aca="false">IF(M39="","",M39+4)</f>
        <v/>
      </c>
      <c r="O39" s="15"/>
      <c r="P39" s="18" t="str">
        <f aca="false">SUBSTITUTE(SUBSTITUTE(IF(I39="A",Μηνύματα!$B$7,Μηνύματα!$B$8),"{ΚΑΤΑΣΤΗΜΑ}",B39),"{ΟΝΟΜΑ}",Μηνύματα!$B$4)</f>
        <v>Γεια σας! 👋 Είμαι ο/η [Το όνομά σου] από την Anbit (anbit.gr). Μας άρεσε πολύ το Neratzia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0" customFormat="false" ht="141" hidden="false" customHeight="false" outlineLevel="0" collapsed="false">
      <c r="A40" s="12" t="n">
        <v>36</v>
      </c>
      <c r="B40" s="12" t="s">
        <v>188</v>
      </c>
      <c r="C40" s="12" t="s">
        <v>189</v>
      </c>
      <c r="D40" s="13" t="s">
        <v>45</v>
      </c>
      <c r="E40" s="13" t="s">
        <v>46</v>
      </c>
      <c r="F40" s="12" t="s">
        <v>7</v>
      </c>
      <c r="G40" s="12" t="s">
        <v>190</v>
      </c>
      <c r="H40" s="12" t="s">
        <v>112</v>
      </c>
      <c r="I40" s="14" t="s">
        <v>3</v>
      </c>
      <c r="J40" s="12" t="s">
        <v>191</v>
      </c>
      <c r="K40" s="12"/>
      <c r="L40" s="15" t="s">
        <v>10</v>
      </c>
      <c r="M40" s="16"/>
      <c r="N40" s="17" t="str">
        <f aca="false">IF(M40="","",M40+4)</f>
        <v/>
      </c>
      <c r="O40" s="15"/>
      <c r="P40" s="18" t="str">
        <f aca="false">SUBSTITUTE(SUBSTITUTE(IF(I40="A",Μηνύματα!$B$7,Μηνύματα!$B$8),"{ΚΑΤΑΣΤΗΜΑ}",B40),"{ΟΝΟΜΑ}",Μηνύματα!$B$4)</f>
        <v>Γεια σας! 👋 Είμαι ο/η [Το όνομά σου] από την Anbit (anbit.gr). Μας άρεσε πολύ το Num All Day Bar &amp; Restaurant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1" customFormat="false" ht="141" hidden="false" customHeight="false" outlineLevel="0" collapsed="false">
      <c r="A41" s="12" t="n">
        <v>37</v>
      </c>
      <c r="B41" s="12" t="s">
        <v>192</v>
      </c>
      <c r="C41" s="12" t="s">
        <v>193</v>
      </c>
      <c r="D41" s="13" t="s">
        <v>45</v>
      </c>
      <c r="E41" s="13" t="s">
        <v>46</v>
      </c>
      <c r="F41" s="12" t="s">
        <v>7</v>
      </c>
      <c r="G41" s="12" t="s">
        <v>194</v>
      </c>
      <c r="H41" s="12" t="s">
        <v>195</v>
      </c>
      <c r="I41" s="14" t="s">
        <v>3</v>
      </c>
      <c r="J41" s="12" t="s">
        <v>196</v>
      </c>
      <c r="K41" s="12"/>
      <c r="L41" s="15" t="s">
        <v>10</v>
      </c>
      <c r="M41" s="16"/>
      <c r="N41" s="17" t="str">
        <f aca="false">IF(M41="","",M41+4)</f>
        <v/>
      </c>
      <c r="O41" s="15"/>
      <c r="P41" s="18" t="str">
        <f aca="false">SUBSTITUTE(SUBSTITUTE(IF(I41="A",Μηνύματα!$B$7,Μηνύματα!$B$8),"{ΚΑΤΑΣΤΗΜΑ}",B41),"{ΟΝΟΜΑ}",Μηνύματα!$B$4)</f>
        <v>Γεια σας! 👋 Είμαι ο/η [Το όνομά σου] από την Anbit (anbit.gr). Μας άρεσε πολύ το Oubi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2" customFormat="false" ht="141" hidden="false" customHeight="false" outlineLevel="0" collapsed="false">
      <c r="A42" s="12" t="n">
        <v>38</v>
      </c>
      <c r="B42" s="12" t="s">
        <v>197</v>
      </c>
      <c r="C42" s="12" t="s">
        <v>198</v>
      </c>
      <c r="D42" s="13" t="s">
        <v>45</v>
      </c>
      <c r="E42" s="13" t="s">
        <v>46</v>
      </c>
      <c r="F42" s="12" t="s">
        <v>7</v>
      </c>
      <c r="G42" s="12" t="s">
        <v>86</v>
      </c>
      <c r="H42" s="12" t="s">
        <v>112</v>
      </c>
      <c r="I42" s="14" t="s">
        <v>3</v>
      </c>
      <c r="J42" s="12" t="s">
        <v>79</v>
      </c>
      <c r="K42" s="12"/>
      <c r="L42" s="15" t="s">
        <v>10</v>
      </c>
      <c r="M42" s="16"/>
      <c r="N42" s="17" t="str">
        <f aca="false">IF(M42="","",M42+4)</f>
        <v/>
      </c>
      <c r="O42" s="15"/>
      <c r="P42" s="18" t="str">
        <f aca="false">SUBSTITUTE(SUBSTITUTE(IF(I42="A",Μηνύματα!$B$7,Μηνύματα!$B$8),"{ΚΑΤΑΣΤΗΜΑ}",B42),"{ΟΝΟΜΑ}",Μηνύματα!$B$4)</f>
        <v>Γεια σας! 👋 Είμαι ο/η [Το όνομά σου] από την Anbit (anbit.gr). Μας άρεσε πολύ το Pere Ubu Glyfada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3" customFormat="false" ht="141" hidden="false" customHeight="false" outlineLevel="0" collapsed="false">
      <c r="A43" s="12" t="n">
        <v>39</v>
      </c>
      <c r="B43" s="12" t="s">
        <v>199</v>
      </c>
      <c r="C43" s="12" t="s">
        <v>200</v>
      </c>
      <c r="D43" s="13" t="s">
        <v>45</v>
      </c>
      <c r="E43" s="13" t="s">
        <v>46</v>
      </c>
      <c r="F43" s="12" t="s">
        <v>7</v>
      </c>
      <c r="G43" s="12" t="s">
        <v>201</v>
      </c>
      <c r="H43" s="12" t="s">
        <v>202</v>
      </c>
      <c r="I43" s="14" t="s">
        <v>3</v>
      </c>
      <c r="J43" s="12" t="s">
        <v>203</v>
      </c>
      <c r="K43" s="12"/>
      <c r="L43" s="15" t="s">
        <v>10</v>
      </c>
      <c r="M43" s="16"/>
      <c r="N43" s="17" t="str">
        <f aca="false">IF(M43="","",M43+4)</f>
        <v/>
      </c>
      <c r="O43" s="15"/>
      <c r="P43" s="18" t="str">
        <f aca="false">SUBSTITUTE(SUBSTITUTE(IF(I43="A",Μηνύματα!$B$7,Μηνύματα!$B$8),"{ΚΑΤΑΣΤΗΜΑ}",B43),"{ΟΝΟΜΑ}",Μηνύματα!$B$4)</f>
        <v>Γεια σας! 👋 Είμαι ο/η [Το όνομά σου] από την Anbit (anbit.gr). Μας άρεσε πολύ το Pit All Day Gastro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4" customFormat="false" ht="141" hidden="false" customHeight="false" outlineLevel="0" collapsed="false">
      <c r="A44" s="12" t="n">
        <v>40</v>
      </c>
      <c r="B44" s="12" t="s">
        <v>204</v>
      </c>
      <c r="C44" s="12" t="s">
        <v>205</v>
      </c>
      <c r="D44" s="13" t="s">
        <v>45</v>
      </c>
      <c r="E44" s="13" t="s">
        <v>46</v>
      </c>
      <c r="F44" s="12" t="s">
        <v>7</v>
      </c>
      <c r="G44" s="12" t="s">
        <v>206</v>
      </c>
      <c r="H44" s="12" t="s">
        <v>207</v>
      </c>
      <c r="I44" s="14" t="s">
        <v>3</v>
      </c>
      <c r="J44" s="12" t="s">
        <v>208</v>
      </c>
      <c r="K44" s="12"/>
      <c r="L44" s="15" t="s">
        <v>10</v>
      </c>
      <c r="M44" s="16"/>
      <c r="N44" s="17" t="str">
        <f aca="false">IF(M44="","",M44+4)</f>
        <v/>
      </c>
      <c r="O44" s="15"/>
      <c r="P44" s="18" t="str">
        <f aca="false">SUBSTITUTE(SUBSTITUTE(IF(I44="A",Μηνύματα!$B$7,Μηνύματα!$B$8),"{ΚΑΤΑΣΤΗΜΑ}",B44),"{ΟΝΟΜΑ}",Μηνύματα!$B$4)</f>
        <v>Γεια σας! 👋 Είμαι ο/η [Το όνομά σου] από την Anbit (anbit.gr). Μας άρεσε πολύ το Péros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5" customFormat="false" ht="141" hidden="false" customHeight="false" outlineLevel="0" collapsed="false">
      <c r="A45" s="12" t="n">
        <v>41</v>
      </c>
      <c r="B45" s="12" t="s">
        <v>209</v>
      </c>
      <c r="C45" s="12" t="s">
        <v>210</v>
      </c>
      <c r="D45" s="13" t="s">
        <v>45</v>
      </c>
      <c r="E45" s="13" t="s">
        <v>46</v>
      </c>
      <c r="F45" s="12" t="s">
        <v>7</v>
      </c>
      <c r="G45" s="12" t="s">
        <v>211</v>
      </c>
      <c r="H45" s="12" t="s">
        <v>212</v>
      </c>
      <c r="I45" s="14" t="s">
        <v>3</v>
      </c>
      <c r="J45" s="12"/>
      <c r="K45" s="12"/>
      <c r="L45" s="15" t="s">
        <v>10</v>
      </c>
      <c r="M45" s="16"/>
      <c r="N45" s="17" t="str">
        <f aca="false">IF(M45="","",M45+4)</f>
        <v/>
      </c>
      <c r="O45" s="15"/>
      <c r="P45" s="18" t="str">
        <f aca="false">SUBSTITUTE(SUBSTITUTE(IF(I45="A",Μηνύματα!$B$7,Μηνύματα!$B$8),"{ΚΑΤΑΣΤΗΜΑ}",B45),"{ΟΝΟΜΑ}",Μηνύματα!$B$4)</f>
        <v>Γεια σας! 👋 Είμαι ο/η [Το όνομά σου] από την Anbit (anbit.gr). Μας άρεσε πολύ το Routina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6" customFormat="false" ht="141" hidden="false" customHeight="false" outlineLevel="0" collapsed="false">
      <c r="A46" s="12" t="n">
        <v>42</v>
      </c>
      <c r="B46" s="12" t="s">
        <v>213</v>
      </c>
      <c r="C46" s="12" t="s">
        <v>214</v>
      </c>
      <c r="D46" s="13" t="s">
        <v>45</v>
      </c>
      <c r="E46" s="13" t="s">
        <v>46</v>
      </c>
      <c r="F46" s="12" t="s">
        <v>7</v>
      </c>
      <c r="G46" s="12" t="s">
        <v>215</v>
      </c>
      <c r="H46" s="12" t="s">
        <v>216</v>
      </c>
      <c r="I46" s="14" t="s">
        <v>3</v>
      </c>
      <c r="J46" s="12" t="s">
        <v>217</v>
      </c>
      <c r="K46" s="12"/>
      <c r="L46" s="15" t="s">
        <v>10</v>
      </c>
      <c r="M46" s="16"/>
      <c r="N46" s="17" t="str">
        <f aca="false">IF(M46="","",M46+4)</f>
        <v/>
      </c>
      <c r="O46" s="15"/>
      <c r="P46" s="18" t="str">
        <f aca="false">SUBSTITUTE(SUBSTITUTE(IF(I46="A",Μηνύματα!$B$7,Μηνύματα!$B$8),"{ΚΑΤΑΣΤΗΜΑ}",B46),"{ΟΝΟΜΑ}",Μηνύματα!$B$4)</f>
        <v>Γεια σας! 👋 Είμαι ο/η [Το όνομά σου] από την Anbit (anbit.gr). Μας άρεσε πολύ το Sinful Taste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7" customFormat="false" ht="141" hidden="false" customHeight="false" outlineLevel="0" collapsed="false">
      <c r="A47" s="12" t="n">
        <v>43</v>
      </c>
      <c r="B47" s="12" t="s">
        <v>218</v>
      </c>
      <c r="C47" s="12" t="s">
        <v>219</v>
      </c>
      <c r="D47" s="13" t="s">
        <v>45</v>
      </c>
      <c r="E47" s="13" t="s">
        <v>46</v>
      </c>
      <c r="F47" s="12" t="s">
        <v>7</v>
      </c>
      <c r="G47" s="12" t="s">
        <v>220</v>
      </c>
      <c r="H47" s="12" t="s">
        <v>207</v>
      </c>
      <c r="I47" s="14" t="s">
        <v>3</v>
      </c>
      <c r="J47" s="12" t="s">
        <v>221</v>
      </c>
      <c r="K47" s="12"/>
      <c r="L47" s="15" t="s">
        <v>10</v>
      </c>
      <c r="M47" s="16"/>
      <c r="N47" s="17" t="str">
        <f aca="false">IF(M47="","",M47+4)</f>
        <v/>
      </c>
      <c r="O47" s="15"/>
      <c r="P47" s="18" t="str">
        <f aca="false">SUBSTITUTE(SUBSTITUTE(IF(I47="A",Μηνύματα!$B$7,Μηνύματα!$B$8),"{ΚΑΤΑΣΤΗΜΑ}",B47),"{ΟΝΟΜΑ}",Μηνύματα!$B$4)</f>
        <v>Γεια σας! 👋 Είμαι ο/η [Το όνομά σου] από την Anbit (anbit.gr). Μας άρεσε πολύ το Treehouse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8" customFormat="false" ht="141" hidden="false" customHeight="false" outlineLevel="0" collapsed="false">
      <c r="A48" s="12" t="n">
        <v>44</v>
      </c>
      <c r="B48" s="12" t="s">
        <v>222</v>
      </c>
      <c r="C48" s="12" t="s">
        <v>223</v>
      </c>
      <c r="D48" s="13" t="s">
        <v>45</v>
      </c>
      <c r="E48" s="13" t="s">
        <v>46</v>
      </c>
      <c r="F48" s="12" t="s">
        <v>7</v>
      </c>
      <c r="G48" s="12" t="s">
        <v>224</v>
      </c>
      <c r="H48" s="12" t="s">
        <v>225</v>
      </c>
      <c r="I48" s="14" t="s">
        <v>3</v>
      </c>
      <c r="J48" s="12" t="s">
        <v>226</v>
      </c>
      <c r="K48" s="12"/>
      <c r="L48" s="15" t="s">
        <v>10</v>
      </c>
      <c r="M48" s="16"/>
      <c r="N48" s="17" t="str">
        <f aca="false">IF(M48="","",M48+4)</f>
        <v/>
      </c>
      <c r="O48" s="15"/>
      <c r="P48" s="18" t="str">
        <f aca="false">SUBSTITUTE(SUBSTITUTE(IF(I48="A",Μηνύματα!$B$7,Μηνύματα!$B$8),"{ΚΑΤΑΣΤΗΜΑ}",B48),"{ΟΝΟΜΑ}",Μηνύματα!$B$4)</f>
        <v>Γεια σας! 👋 Είμαι ο/η [Το όνομά σου] από την Anbit (anbit.gr). Μας άρεσε πολύ το Usurum Brunch &amp; Cocktails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49" customFormat="false" ht="141" hidden="false" customHeight="false" outlineLevel="0" collapsed="false">
      <c r="A49" s="12" t="n">
        <v>45</v>
      </c>
      <c r="B49" s="12" t="s">
        <v>227</v>
      </c>
      <c r="C49" s="12" t="s">
        <v>228</v>
      </c>
      <c r="D49" s="13" t="s">
        <v>45</v>
      </c>
      <c r="E49" s="13" t="s">
        <v>46</v>
      </c>
      <c r="F49" s="12" t="s">
        <v>7</v>
      </c>
      <c r="G49" s="12" t="s">
        <v>229</v>
      </c>
      <c r="H49" s="12" t="s">
        <v>132</v>
      </c>
      <c r="I49" s="14" t="s">
        <v>3</v>
      </c>
      <c r="J49" s="12"/>
      <c r="K49" s="12"/>
      <c r="L49" s="15" t="s">
        <v>10</v>
      </c>
      <c r="M49" s="16"/>
      <c r="N49" s="17" t="str">
        <f aca="false">IF(M49="","",M49+4)</f>
        <v/>
      </c>
      <c r="O49" s="15"/>
      <c r="P49" s="18" t="str">
        <f aca="false">SUBSTITUTE(SUBSTITUTE(IF(I49="A",Μηνύματα!$B$7,Μηνύματα!$B$8),"{ΚΑΤΑΣΤΗΜΑ}",B49),"{ΟΝΟΜΑ}",Μηνύματα!$B$4)</f>
        <v>Γεια σας! 👋 Είμαι ο/η [Το όνομά σου] από την Anbit (anbit.gr). Μας άρεσε πολύ το VS All Day Cafe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0" customFormat="false" ht="141" hidden="false" customHeight="false" outlineLevel="0" collapsed="false">
      <c r="A50" s="12" t="n">
        <v>46</v>
      </c>
      <c r="B50" s="12" t="s">
        <v>230</v>
      </c>
      <c r="C50" s="12" t="s">
        <v>231</v>
      </c>
      <c r="D50" s="13" t="s">
        <v>45</v>
      </c>
      <c r="E50" s="13" t="s">
        <v>46</v>
      </c>
      <c r="F50" s="12" t="s">
        <v>7</v>
      </c>
      <c r="G50" s="12" t="s">
        <v>232</v>
      </c>
      <c r="H50" s="12" t="s">
        <v>119</v>
      </c>
      <c r="I50" s="14" t="s">
        <v>3</v>
      </c>
      <c r="J50" s="12" t="s">
        <v>233</v>
      </c>
      <c r="K50" s="12"/>
      <c r="L50" s="15" t="s">
        <v>10</v>
      </c>
      <c r="M50" s="16"/>
      <c r="N50" s="17" t="str">
        <f aca="false">IF(M50="","",M50+4)</f>
        <v/>
      </c>
      <c r="O50" s="15"/>
      <c r="P50" s="18" t="str">
        <f aca="false">SUBSTITUTE(SUBSTITUTE(IF(I50="A",Μηνύματα!$B$7,Μηνύματα!$B$8),"{ΚΑΤΑΣΤΗΜΑ}",B50),"{ΟΝΟΜΑ}",Μηνύματα!$B$4)</f>
        <v>Γεια σας! 👋 Είμαι ο/η [Το όνομά σου] από την Anbit (anbit.gr). Μας άρεσε πολύ το White Bear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1" customFormat="false" ht="141" hidden="false" customHeight="false" outlineLevel="0" collapsed="false">
      <c r="A51" s="12" t="n">
        <v>47</v>
      </c>
      <c r="B51" s="12" t="s">
        <v>234</v>
      </c>
      <c r="C51" s="12" t="s">
        <v>235</v>
      </c>
      <c r="D51" s="13" t="s">
        <v>45</v>
      </c>
      <c r="E51" s="13" t="s">
        <v>46</v>
      </c>
      <c r="F51" s="12" t="s">
        <v>7</v>
      </c>
      <c r="G51" s="12" t="s">
        <v>236</v>
      </c>
      <c r="H51" s="12" t="s">
        <v>237</v>
      </c>
      <c r="I51" s="14" t="s">
        <v>3</v>
      </c>
      <c r="J51" s="12" t="s">
        <v>238</v>
      </c>
      <c r="K51" s="12"/>
      <c r="L51" s="15" t="s">
        <v>10</v>
      </c>
      <c r="M51" s="16"/>
      <c r="N51" s="17" t="str">
        <f aca="false">IF(M51="","",M51+4)</f>
        <v/>
      </c>
      <c r="O51" s="15"/>
      <c r="P51" s="18" t="str">
        <f aca="false">SUBSTITUTE(SUBSTITUTE(IF(I51="A",Μηνύματα!$B$7,Μηνύματα!$B$8),"{ΚΑΤΑΣΤΗΜΑ}",B51),"{ΟΝΟΜΑ}",Μηνύματα!$B$4)</f>
        <v>Γεια σας! 👋 Είμαι ο/η [Το όνομά σου] από την Anbit (anbit.gr). Μας άρεσε πολύ το Άκρη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2" customFormat="false" ht="141" hidden="false" customHeight="false" outlineLevel="0" collapsed="false">
      <c r="A52" s="12" t="n">
        <v>48</v>
      </c>
      <c r="B52" s="12" t="s">
        <v>239</v>
      </c>
      <c r="C52" s="12" t="s">
        <v>240</v>
      </c>
      <c r="D52" s="13" t="s">
        <v>45</v>
      </c>
      <c r="E52" s="13" t="s">
        <v>46</v>
      </c>
      <c r="F52" s="12" t="s">
        <v>7</v>
      </c>
      <c r="G52" s="12" t="s">
        <v>152</v>
      </c>
      <c r="H52" s="12" t="s">
        <v>241</v>
      </c>
      <c r="I52" s="14" t="s">
        <v>3</v>
      </c>
      <c r="J52" s="12" t="s">
        <v>242</v>
      </c>
      <c r="K52" s="12"/>
      <c r="L52" s="15" t="s">
        <v>10</v>
      </c>
      <c r="M52" s="16"/>
      <c r="N52" s="17" t="str">
        <f aca="false">IF(M52="","",M52+4)</f>
        <v/>
      </c>
      <c r="O52" s="15"/>
      <c r="P52" s="18" t="str">
        <f aca="false">SUBSTITUTE(SUBSTITUTE(IF(I52="A",Μηνύματα!$B$7,Μηνύματα!$B$8),"{ΚΑΤΑΣΤΗΜΑ}",B52),"{ΟΝΟΜΑ}",Μηνύματα!$B$4)</f>
        <v>Γεια σας! 👋 Είμαι ο/η [Το όνομά σου] από την Anbit (anbit.gr). Μας άρεσε πολύ το Αμαρυσία Coffee &amp; Snack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3" customFormat="false" ht="141" hidden="false" customHeight="false" outlineLevel="0" collapsed="false">
      <c r="A53" s="12" t="n">
        <v>49</v>
      </c>
      <c r="B53" s="12" t="s">
        <v>243</v>
      </c>
      <c r="C53" s="12" t="s">
        <v>244</v>
      </c>
      <c r="D53" s="13" t="s">
        <v>45</v>
      </c>
      <c r="E53" s="13" t="s">
        <v>46</v>
      </c>
      <c r="F53" s="12" t="s">
        <v>7</v>
      </c>
      <c r="G53" s="12" t="s">
        <v>245</v>
      </c>
      <c r="H53" s="12" t="s">
        <v>246</v>
      </c>
      <c r="I53" s="14" t="s">
        <v>3</v>
      </c>
      <c r="J53" s="12"/>
      <c r="K53" s="12"/>
      <c r="L53" s="15" t="s">
        <v>10</v>
      </c>
      <c r="M53" s="16"/>
      <c r="N53" s="17" t="str">
        <f aca="false">IF(M53="","",M53+4)</f>
        <v/>
      </c>
      <c r="O53" s="15"/>
      <c r="P53" s="18" t="str">
        <f aca="false">SUBSTITUTE(SUBSTITUTE(IF(I53="A",Μηνύματα!$B$7,Μηνύματα!$B$8),"{ΚΑΤΑΣΤΗΜΑ}",B53),"{ΟΝΟΜΑ}",Μηνύματα!$B$4)</f>
        <v>Γεια σας! 👋 Είμαι ο/η [Το όνομά σου] από την Anbit (anbit.gr). Μας άρεσε πολύ το Ανάκατα – Συνεργατικό Καφενείο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4" customFormat="false" ht="141" hidden="false" customHeight="false" outlineLevel="0" collapsed="false">
      <c r="A54" s="12" t="n">
        <v>50</v>
      </c>
      <c r="B54" s="12" t="s">
        <v>247</v>
      </c>
      <c r="C54" s="12" t="s">
        <v>248</v>
      </c>
      <c r="D54" s="13" t="s">
        <v>45</v>
      </c>
      <c r="E54" s="13" t="s">
        <v>46</v>
      </c>
      <c r="F54" s="12" t="s">
        <v>7</v>
      </c>
      <c r="G54" s="12" t="s">
        <v>249</v>
      </c>
      <c r="H54" s="12" t="s">
        <v>119</v>
      </c>
      <c r="I54" s="14" t="s">
        <v>3</v>
      </c>
      <c r="J54" s="12" t="s">
        <v>250</v>
      </c>
      <c r="K54" s="12"/>
      <c r="L54" s="15" t="s">
        <v>10</v>
      </c>
      <c r="M54" s="16"/>
      <c r="N54" s="17" t="str">
        <f aca="false">IF(M54="","",M54+4)</f>
        <v/>
      </c>
      <c r="O54" s="15"/>
      <c r="P54" s="18" t="str">
        <f aca="false">SUBSTITUTE(SUBSTITUTE(IF(I54="A",Μηνύματα!$B$7,Μηνύματα!$B$8),"{ΚΑΤΑΣΤΗΜΑ}",B54),"{ΟΝΟΜΑ}",Μηνύματα!$B$4)</f>
        <v>Γεια σας! 👋 Είμαι ο/η [Το όνομά σου] από την Anbit (anbit.gr). Μας άρεσε πολύ το Βαλίτσα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5" customFormat="false" ht="141" hidden="false" customHeight="false" outlineLevel="0" collapsed="false">
      <c r="A55" s="12" t="n">
        <v>51</v>
      </c>
      <c r="B55" s="12" t="s">
        <v>251</v>
      </c>
      <c r="C55" s="12" t="s">
        <v>252</v>
      </c>
      <c r="D55" s="13" t="s">
        <v>45</v>
      </c>
      <c r="E55" s="13" t="s">
        <v>46</v>
      </c>
      <c r="F55" s="12" t="s">
        <v>7</v>
      </c>
      <c r="G55" s="12" t="s">
        <v>253</v>
      </c>
      <c r="H55" s="12" t="s">
        <v>119</v>
      </c>
      <c r="I55" s="14" t="s">
        <v>3</v>
      </c>
      <c r="J55" s="12"/>
      <c r="K55" s="19" t="s">
        <v>105</v>
      </c>
      <c r="L55" s="15" t="s">
        <v>10</v>
      </c>
      <c r="M55" s="16"/>
      <c r="N55" s="17" t="str">
        <f aca="false">IF(M55="","",M55+4)</f>
        <v/>
      </c>
      <c r="O55" s="15"/>
      <c r="P55" s="18" t="str">
        <f aca="false">SUBSTITUTE(SUBSTITUTE(IF(I55="A",Μηνύματα!$B$7,Μηνύματα!$B$8),"{ΚΑΤΑΣΤΗΜΑ}",B55),"{ΟΝΟΜΑ}",Μηνύματα!$B$4)</f>
        <v>Γεια σας! 👋 Είμαι ο/η [Το όνομά σου] από την Anbit (anbit.gr). Μας άρεσε πολύ το Βαρνάβα Καφέ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6" customFormat="false" ht="141" hidden="false" customHeight="false" outlineLevel="0" collapsed="false">
      <c r="A56" s="12" t="n">
        <v>52</v>
      </c>
      <c r="B56" s="12" t="s">
        <v>254</v>
      </c>
      <c r="C56" s="12" t="s">
        <v>255</v>
      </c>
      <c r="D56" s="13" t="s">
        <v>45</v>
      </c>
      <c r="E56" s="13" t="s">
        <v>46</v>
      </c>
      <c r="F56" s="12" t="s">
        <v>7</v>
      </c>
      <c r="G56" s="12" t="s">
        <v>256</v>
      </c>
      <c r="H56" s="12" t="s">
        <v>78</v>
      </c>
      <c r="I56" s="14" t="s">
        <v>3</v>
      </c>
      <c r="J56" s="12" t="s">
        <v>257</v>
      </c>
      <c r="K56" s="12"/>
      <c r="L56" s="15" t="s">
        <v>10</v>
      </c>
      <c r="M56" s="16"/>
      <c r="N56" s="17" t="str">
        <f aca="false">IF(M56="","",M56+4)</f>
        <v/>
      </c>
      <c r="O56" s="15"/>
      <c r="P56" s="18" t="str">
        <f aca="false">SUBSTITUTE(SUBSTITUTE(IF(I56="A",Μηνύματα!$B$7,Μηνύματα!$B$8),"{ΚΑΤΑΣΤΗΜΑ}",B56),"{ΟΝΟΜΑ}",Μηνύματα!$B$4)</f>
        <v>Γεια σας! 👋 Είμαι ο/η [Το όνομά σου] από την Anbit (anbit.gr). Μας άρεσε πολύ το Δέντρο All Day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7" customFormat="false" ht="141" hidden="false" customHeight="false" outlineLevel="0" collapsed="false">
      <c r="A57" s="12" t="n">
        <v>53</v>
      </c>
      <c r="B57" s="12" t="s">
        <v>258</v>
      </c>
      <c r="C57" s="12" t="s">
        <v>259</v>
      </c>
      <c r="D57" s="13" t="s">
        <v>45</v>
      </c>
      <c r="E57" s="13" t="s">
        <v>46</v>
      </c>
      <c r="F57" s="12" t="s">
        <v>7</v>
      </c>
      <c r="G57" s="12" t="s">
        <v>260</v>
      </c>
      <c r="H57" s="12" t="s">
        <v>261</v>
      </c>
      <c r="I57" s="14" t="s">
        <v>3</v>
      </c>
      <c r="J57" s="12" t="s">
        <v>262</v>
      </c>
      <c r="K57" s="12"/>
      <c r="L57" s="15" t="s">
        <v>10</v>
      </c>
      <c r="M57" s="16"/>
      <c r="N57" s="17" t="str">
        <f aca="false">IF(M57="","",M57+4)</f>
        <v/>
      </c>
      <c r="O57" s="15"/>
      <c r="P57" s="18" t="str">
        <f aca="false">SUBSTITUTE(SUBSTITUTE(IF(I57="A",Μηνύματα!$B$7,Μηνύματα!$B$8),"{ΚΑΤΑΣΤΗΜΑ}",B57),"{ΟΝΟΜΑ}",Μηνύματα!$B$4)</f>
        <v>Γεια σας! 👋 Είμαι ο/η [Το όνομά σου] από την Anbit (anbit.gr). Μας άρεσε πολύ το ΕΔΕΜ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8" customFormat="false" ht="141" hidden="false" customHeight="false" outlineLevel="0" collapsed="false">
      <c r="A58" s="12" t="n">
        <v>54</v>
      </c>
      <c r="B58" s="12" t="s">
        <v>263</v>
      </c>
      <c r="C58" s="12" t="s">
        <v>264</v>
      </c>
      <c r="D58" s="13" t="s">
        <v>45</v>
      </c>
      <c r="E58" s="13" t="s">
        <v>46</v>
      </c>
      <c r="F58" s="12" t="s">
        <v>7</v>
      </c>
      <c r="G58" s="12" t="s">
        <v>265</v>
      </c>
      <c r="H58" s="12" t="s">
        <v>266</v>
      </c>
      <c r="I58" s="14" t="s">
        <v>3</v>
      </c>
      <c r="J58" s="12"/>
      <c r="K58" s="12"/>
      <c r="L58" s="15" t="s">
        <v>10</v>
      </c>
      <c r="M58" s="16"/>
      <c r="N58" s="17" t="str">
        <f aca="false">IF(M58="","",M58+4)</f>
        <v/>
      </c>
      <c r="O58" s="15"/>
      <c r="P58" s="18" t="str">
        <f aca="false">SUBSTITUTE(SUBSTITUTE(IF(I58="A",Μηνύματα!$B$7,Μηνύματα!$B$8),"{ΚΑΤΑΣΤΗΜΑ}",B58),"{ΟΝΟΜΑ}",Μηνύματα!$B$4)</f>
        <v>Γεια σας! 👋 Είμαι ο/η [Το όνομά σου] από την Anbit (anbit.gr). Μας άρεσε πολύ το Η Σκοπά – Καφενείο Μεζεδοπωλείο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59" customFormat="false" ht="141" hidden="false" customHeight="false" outlineLevel="0" collapsed="false">
      <c r="A59" s="12" t="n">
        <v>55</v>
      </c>
      <c r="B59" s="12" t="s">
        <v>267</v>
      </c>
      <c r="C59" s="12" t="s">
        <v>268</v>
      </c>
      <c r="D59" s="13" t="s">
        <v>45</v>
      </c>
      <c r="E59" s="13" t="s">
        <v>46</v>
      </c>
      <c r="F59" s="12" t="s">
        <v>7</v>
      </c>
      <c r="G59" s="12" t="s">
        <v>269</v>
      </c>
      <c r="H59" s="12" t="s">
        <v>270</v>
      </c>
      <c r="I59" s="14" t="s">
        <v>3</v>
      </c>
      <c r="J59" s="12" t="s">
        <v>271</v>
      </c>
      <c r="K59" s="12"/>
      <c r="L59" s="15" t="s">
        <v>10</v>
      </c>
      <c r="M59" s="16"/>
      <c r="N59" s="17" t="str">
        <f aca="false">IF(M59="","",M59+4)</f>
        <v/>
      </c>
      <c r="O59" s="15"/>
      <c r="P59" s="18" t="str">
        <f aca="false">SUBSTITUTE(SUBSTITUTE(IF(I59="A",Μηνύματα!$B$7,Μηνύματα!$B$8),"{ΚΑΤΑΣΤΗΜΑ}",B59),"{ΟΝΟΜΑ}",Μηνύματα!$B$4)</f>
        <v>Γεια σας! 👋 Είμαι ο/η [Το όνομά σου] από την Anbit (anbit.gr). Μας άρεσε πολύ το Καφέ Χαρά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0" customFormat="false" ht="141" hidden="false" customHeight="false" outlineLevel="0" collapsed="false">
      <c r="A60" s="12" t="n">
        <v>56</v>
      </c>
      <c r="B60" s="12" t="s">
        <v>272</v>
      </c>
      <c r="C60" s="12" t="s">
        <v>273</v>
      </c>
      <c r="D60" s="13" t="s">
        <v>45</v>
      </c>
      <c r="E60" s="13" t="s">
        <v>46</v>
      </c>
      <c r="F60" s="12" t="s">
        <v>7</v>
      </c>
      <c r="G60" s="12" t="s">
        <v>274</v>
      </c>
      <c r="H60" s="12" t="s">
        <v>275</v>
      </c>
      <c r="I60" s="14" t="s">
        <v>3</v>
      </c>
      <c r="J60" s="12" t="s">
        <v>276</v>
      </c>
      <c r="K60" s="12"/>
      <c r="L60" s="15" t="s">
        <v>10</v>
      </c>
      <c r="M60" s="16"/>
      <c r="N60" s="17" t="str">
        <f aca="false">IF(M60="","",M60+4)</f>
        <v/>
      </c>
      <c r="O60" s="15"/>
      <c r="P60" s="18" t="str">
        <f aca="false">SUBSTITUTE(SUBSTITUTE(IF(I60="A",Μηνύματα!$B$7,Μηνύματα!$B$8),"{ΚΑΤΑΣΤΗΜΑ}",B60),"{ΟΝΟΜΑ}",Μηνύματα!$B$4)</f>
        <v>Γεια σας! 👋 Είμαι ο/η [Το όνομά σου] από την Anbit (anbit.gr). Μας άρεσε πολύ το Κρέμα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1" customFormat="false" ht="141" hidden="false" customHeight="false" outlineLevel="0" collapsed="false">
      <c r="A61" s="12" t="n">
        <v>57</v>
      </c>
      <c r="B61" s="12" t="s">
        <v>277</v>
      </c>
      <c r="C61" s="12" t="s">
        <v>278</v>
      </c>
      <c r="D61" s="13" t="s">
        <v>45</v>
      </c>
      <c r="E61" s="13" t="s">
        <v>46</v>
      </c>
      <c r="F61" s="12" t="s">
        <v>7</v>
      </c>
      <c r="G61" s="12" t="s">
        <v>279</v>
      </c>
      <c r="H61" s="12" t="s">
        <v>246</v>
      </c>
      <c r="I61" s="14" t="s">
        <v>3</v>
      </c>
      <c r="J61" s="12"/>
      <c r="K61" s="12"/>
      <c r="L61" s="15" t="s">
        <v>10</v>
      </c>
      <c r="M61" s="16"/>
      <c r="N61" s="17" t="str">
        <f aca="false">IF(M61="","",M61+4)</f>
        <v/>
      </c>
      <c r="O61" s="15"/>
      <c r="P61" s="18" t="str">
        <f aca="false">SUBSTITUTE(SUBSTITUTE(IF(I61="A",Μηνύματα!$B$7,Μηνύματα!$B$8),"{ΚΑΤΑΣΤΗΜΑ}",B61),"{ΟΝΟΜΑ}",Μηνύματα!$B$4)</f>
        <v>Γεια σας! 👋 Είμαι ο/η [Το όνομά σου] από την Anbit (anbit.gr). Μας άρεσε πολύ το Λούης Καφενείο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2" customFormat="false" ht="141" hidden="false" customHeight="false" outlineLevel="0" collapsed="false">
      <c r="A62" s="12" t="n">
        <v>58</v>
      </c>
      <c r="B62" s="12" t="s">
        <v>280</v>
      </c>
      <c r="C62" s="12" t="s">
        <v>281</v>
      </c>
      <c r="D62" s="13" t="s">
        <v>45</v>
      </c>
      <c r="E62" s="13" t="s">
        <v>46</v>
      </c>
      <c r="F62" s="12" t="s">
        <v>7</v>
      </c>
      <c r="G62" s="12" t="s">
        <v>282</v>
      </c>
      <c r="H62" s="12" t="s">
        <v>283</v>
      </c>
      <c r="I62" s="14" t="s">
        <v>3</v>
      </c>
      <c r="J62" s="12"/>
      <c r="K62" s="19" t="s">
        <v>284</v>
      </c>
      <c r="L62" s="15" t="s">
        <v>10</v>
      </c>
      <c r="M62" s="16"/>
      <c r="N62" s="17" t="str">
        <f aca="false">IF(M62="","",M62+4)</f>
        <v/>
      </c>
      <c r="O62" s="15"/>
      <c r="P62" s="18" t="str">
        <f aca="false">SUBSTITUTE(SUBSTITUTE(IF(I62="A",Μηνύματα!$B$7,Μηνύματα!$B$8),"{ΚΑΤΑΣΤΗΜΑ}",B62),"{ΟΝΟΜΑ}",Μηνύματα!$B$4)</f>
        <v>Γεια σας! 👋 Είμαι ο/η [Το όνομά σου] από την Anbit (anbit.gr). Μας άρεσε πολύ το Ο Λεμονόκηπος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3" customFormat="false" ht="141" hidden="false" customHeight="false" outlineLevel="0" collapsed="false">
      <c r="A63" s="12" t="n">
        <v>59</v>
      </c>
      <c r="B63" s="12" t="s">
        <v>285</v>
      </c>
      <c r="C63" s="12" t="s">
        <v>286</v>
      </c>
      <c r="D63" s="13" t="s">
        <v>45</v>
      </c>
      <c r="E63" s="13" t="s">
        <v>46</v>
      </c>
      <c r="F63" s="12" t="s">
        <v>7</v>
      </c>
      <c r="G63" s="12" t="s">
        <v>287</v>
      </c>
      <c r="H63" s="12" t="s">
        <v>288</v>
      </c>
      <c r="I63" s="14" t="s">
        <v>3</v>
      </c>
      <c r="J63" s="12" t="s">
        <v>289</v>
      </c>
      <c r="K63" s="12"/>
      <c r="L63" s="15" t="s">
        <v>10</v>
      </c>
      <c r="M63" s="16"/>
      <c r="N63" s="17" t="str">
        <f aca="false">IF(M63="","",M63+4)</f>
        <v/>
      </c>
      <c r="O63" s="15"/>
      <c r="P63" s="18" t="str">
        <f aca="false">SUBSTITUTE(SUBSTITUTE(IF(I63="A",Μηνύματα!$B$7,Μηνύματα!$B$8),"{ΚΑΤΑΣΤΗΜΑ}",B63),"{ΟΝΟΜΑ}",Μηνύματα!$B$4)</f>
        <v>Γεια σας! 👋 Είμαι ο/η [Το όνομά σου] από την Anbit (anbit.gr). Μας άρεσε πολύ το ΟΥΑΝ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4" customFormat="false" ht="141" hidden="false" customHeight="false" outlineLevel="0" collapsed="false">
      <c r="A64" s="12" t="n">
        <v>60</v>
      </c>
      <c r="B64" s="12" t="s">
        <v>290</v>
      </c>
      <c r="C64" s="12" t="s">
        <v>291</v>
      </c>
      <c r="D64" s="13" t="s">
        <v>45</v>
      </c>
      <c r="E64" s="13" t="s">
        <v>46</v>
      </c>
      <c r="F64" s="12" t="s">
        <v>7</v>
      </c>
      <c r="G64" s="12" t="s">
        <v>292</v>
      </c>
      <c r="H64" s="12" t="s">
        <v>293</v>
      </c>
      <c r="I64" s="14" t="s">
        <v>3</v>
      </c>
      <c r="J64" s="12"/>
      <c r="K64" s="12"/>
      <c r="L64" s="15" t="s">
        <v>10</v>
      </c>
      <c r="M64" s="16"/>
      <c r="N64" s="17" t="str">
        <f aca="false">IF(M64="","",M64+4)</f>
        <v/>
      </c>
      <c r="O64" s="15"/>
      <c r="P64" s="18" t="str">
        <f aca="false">SUBSTITUTE(SUBSTITUTE(IF(I64="A",Μηνύματα!$B$7,Μηνύματα!$B$8),"{ΚΑΤΑΣΤΗΜΑ}",B64),"{ΟΝΟΜΑ}",Μηνύματα!$B$4)</f>
        <v>Γεια σας! 👋 Είμαι ο/η [Το όνομά σου] από την Anbit (anbit.gr). Μας άρεσε πολύ το Παλιά Αγορά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5" customFormat="false" ht="141" hidden="false" customHeight="false" outlineLevel="0" collapsed="false">
      <c r="A65" s="12" t="n">
        <v>61</v>
      </c>
      <c r="B65" s="12" t="s">
        <v>294</v>
      </c>
      <c r="C65" s="12" t="s">
        <v>295</v>
      </c>
      <c r="D65" s="13" t="s">
        <v>45</v>
      </c>
      <c r="E65" s="13" t="s">
        <v>46</v>
      </c>
      <c r="F65" s="12" t="s">
        <v>7</v>
      </c>
      <c r="G65" s="12" t="s">
        <v>296</v>
      </c>
      <c r="H65" s="12" t="s">
        <v>237</v>
      </c>
      <c r="I65" s="14" t="s">
        <v>3</v>
      </c>
      <c r="J65" s="12" t="s">
        <v>297</v>
      </c>
      <c r="K65" s="12"/>
      <c r="L65" s="15" t="s">
        <v>10</v>
      </c>
      <c r="M65" s="16"/>
      <c r="N65" s="17" t="str">
        <f aca="false">IF(M65="","",M65+4)</f>
        <v/>
      </c>
      <c r="O65" s="15"/>
      <c r="P65" s="18" t="str">
        <f aca="false">SUBSTITUTE(SUBSTITUTE(IF(I65="A",Μηνύματα!$B$7,Μηνύματα!$B$8),"{ΚΑΤΑΣΤΗΜΑ}",B65),"{ΟΝΟΜΑ}",Μηνύματα!$B$4)</f>
        <v>Γεια σας! 👋 Είμαι ο/η [Το όνομά σου] από την Anbit (anbit.gr). Μας άρεσε πολύ το Παραμύθι με καφέ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6" customFormat="false" ht="141" hidden="false" customHeight="false" outlineLevel="0" collapsed="false">
      <c r="A66" s="12" t="n">
        <v>62</v>
      </c>
      <c r="B66" s="12" t="s">
        <v>298</v>
      </c>
      <c r="C66" s="12" t="s">
        <v>299</v>
      </c>
      <c r="D66" s="13" t="s">
        <v>45</v>
      </c>
      <c r="E66" s="13" t="s">
        <v>46</v>
      </c>
      <c r="F66" s="12" t="s">
        <v>7</v>
      </c>
      <c r="G66" s="12" t="s">
        <v>56</v>
      </c>
      <c r="H66" s="12" t="s">
        <v>167</v>
      </c>
      <c r="I66" s="14" t="s">
        <v>3</v>
      </c>
      <c r="J66" s="12" t="s">
        <v>300</v>
      </c>
      <c r="K66" s="12"/>
      <c r="L66" s="15" t="s">
        <v>10</v>
      </c>
      <c r="M66" s="16"/>
      <c r="N66" s="17" t="str">
        <f aca="false">IF(M66="","",M66+4)</f>
        <v/>
      </c>
      <c r="O66" s="15"/>
      <c r="P66" s="18" t="str">
        <f aca="false">SUBSTITUTE(SUBSTITUTE(IF(I66="A",Μηνύματα!$B$7,Μηνύματα!$B$8),"{ΚΑΤΑΣΤΗΜΑ}",B66),"{ΟΝΟΜΑ}",Μηνύματα!$B$4)</f>
        <v>Γεια σας! 👋 Είμαι ο/η [Το όνομά σου] από την Anbit (anbit.gr). Μας άρεσε πολύ το Το Μπαρ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7" customFormat="false" ht="141" hidden="false" customHeight="false" outlineLevel="0" collapsed="false">
      <c r="A67" s="12" t="n">
        <v>63</v>
      </c>
      <c r="B67" s="12" t="s">
        <v>301</v>
      </c>
      <c r="C67" s="12" t="s">
        <v>302</v>
      </c>
      <c r="D67" s="13" t="s">
        <v>45</v>
      </c>
      <c r="E67" s="13" t="s">
        <v>46</v>
      </c>
      <c r="F67" s="12" t="s">
        <v>7</v>
      </c>
      <c r="G67" s="12"/>
      <c r="H67" s="12" t="s">
        <v>246</v>
      </c>
      <c r="I67" s="14" t="s">
        <v>3</v>
      </c>
      <c r="J67" s="12" t="s">
        <v>303</v>
      </c>
      <c r="K67" s="19" t="s">
        <v>105</v>
      </c>
      <c r="L67" s="15" t="s">
        <v>10</v>
      </c>
      <c r="M67" s="16"/>
      <c r="N67" s="17" t="str">
        <f aca="false">IF(M67="","",M67+4)</f>
        <v/>
      </c>
      <c r="O67" s="15"/>
      <c r="P67" s="18" t="str">
        <f aca="false">SUBSTITUTE(SUBSTITUTE(IF(I67="A",Μηνύματα!$B$7,Μηνύματα!$B$8),"{ΚΑΤΑΣΤΗΜΑ}",B67),"{ΟΝΟΜΑ}",Μηνύματα!$B$4)</f>
        <v>Γεια σας! 👋 Είμαι ο/η [Το όνομά σου] από την Anbit (anbit.gr). Μας άρεσε πολύ το Φλάρος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68" customFormat="false" ht="90.25" hidden="false" customHeight="false" outlineLevel="0" collapsed="false">
      <c r="A68" s="12" t="n">
        <v>64</v>
      </c>
      <c r="B68" s="12" t="s">
        <v>304</v>
      </c>
      <c r="C68" s="12" t="s">
        <v>305</v>
      </c>
      <c r="D68" s="13" t="s">
        <v>45</v>
      </c>
      <c r="E68" s="13" t="s">
        <v>46</v>
      </c>
      <c r="F68" s="12" t="s">
        <v>7</v>
      </c>
      <c r="G68" s="12"/>
      <c r="H68" s="12" t="s">
        <v>306</v>
      </c>
      <c r="I68" s="14" t="s">
        <v>4</v>
      </c>
      <c r="J68" s="12"/>
      <c r="K68" s="19" t="s">
        <v>105</v>
      </c>
      <c r="L68" s="15" t="s">
        <v>10</v>
      </c>
      <c r="M68" s="16"/>
      <c r="N68" s="17" t="str">
        <f aca="false">IF(M68="","",M68+4)</f>
        <v/>
      </c>
      <c r="O68" s="15"/>
      <c r="P68" s="18" t="str">
        <f aca="false">SUBSTITUTE(SUBSTITUTE(IF(I68="A",Μηνύματα!$B$7,Μηνύματα!$B$8),"{ΚΑΤΑΣΤΗΜΑ}",B68),"{ΟΝΟΜΑ}",Μηνύματα!$B$4)</f>
        <v>Γεια σας! 👋 Είμαι ο/η [Το όνομά σου] από την Anbit (anbit.gr). Είδαμε το AMANTE Restaurant &amp; Cocktail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69" customFormat="false" ht="90.25" hidden="false" customHeight="false" outlineLevel="0" collapsed="false">
      <c r="A69" s="12" t="n">
        <v>65</v>
      </c>
      <c r="B69" s="12" t="s">
        <v>307</v>
      </c>
      <c r="C69" s="12" t="s">
        <v>308</v>
      </c>
      <c r="D69" s="13" t="s">
        <v>45</v>
      </c>
      <c r="E69" s="13" t="s">
        <v>46</v>
      </c>
      <c r="F69" s="12" t="s">
        <v>7</v>
      </c>
      <c r="G69" s="12" t="s">
        <v>309</v>
      </c>
      <c r="H69" s="12" t="s">
        <v>310</v>
      </c>
      <c r="I69" s="14" t="s">
        <v>4</v>
      </c>
      <c r="J69" s="12" t="s">
        <v>311</v>
      </c>
      <c r="K69" s="12"/>
      <c r="L69" s="15" t="s">
        <v>10</v>
      </c>
      <c r="M69" s="16"/>
      <c r="N69" s="17" t="str">
        <f aca="false">IF(M69="","",M69+4)</f>
        <v/>
      </c>
      <c r="O69" s="15"/>
      <c r="P69" s="18" t="str">
        <f aca="false">SUBSTITUTE(SUBSTITUTE(IF(I69="A",Μηνύματα!$B$7,Μηνύματα!$B$8),"{ΚΑΤΑΣΤΗΜΑ}",B69),"{ΟΝΟΜΑ}",Μηνύματα!$B$4)</f>
        <v>Γεια σας! 👋 Είμαι ο/η [Το όνομά σου] από την Anbit (anbit.gr). Είδαμε το Big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0" customFormat="false" ht="90.25" hidden="false" customHeight="false" outlineLevel="0" collapsed="false">
      <c r="A70" s="12" t="n">
        <v>66</v>
      </c>
      <c r="B70" s="12" t="s">
        <v>312</v>
      </c>
      <c r="C70" s="12" t="s">
        <v>313</v>
      </c>
      <c r="D70" s="13" t="s">
        <v>45</v>
      </c>
      <c r="E70" s="13" t="s">
        <v>46</v>
      </c>
      <c r="F70" s="12" t="s">
        <v>7</v>
      </c>
      <c r="G70" s="12" t="s">
        <v>314</v>
      </c>
      <c r="H70" s="12" t="s">
        <v>315</v>
      </c>
      <c r="I70" s="14" t="s">
        <v>4</v>
      </c>
      <c r="J70" s="12" t="s">
        <v>316</v>
      </c>
      <c r="K70" s="12"/>
      <c r="L70" s="15" t="s">
        <v>10</v>
      </c>
      <c r="M70" s="16"/>
      <c r="N70" s="17" t="str">
        <f aca="false">IF(M70="","",M70+4)</f>
        <v/>
      </c>
      <c r="O70" s="15"/>
      <c r="P70" s="18" t="str">
        <f aca="false">SUBSTITUTE(SUBSTITUTE(IF(I70="A",Μηνύματα!$B$7,Μηνύματα!$B$8),"{ΚΑΤΑΣΤΗΜΑ}",B70),"{ΟΝΟΜΑ}",Μηνύματα!$B$4)</f>
        <v>Γεια σας! 👋 Είμαι ο/η [Το όνομά σου] από την Anbit (anbit.gr). Είδαμε το Forte Charitos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1" customFormat="false" ht="90.25" hidden="false" customHeight="false" outlineLevel="0" collapsed="false">
      <c r="A71" s="12" t="n">
        <v>67</v>
      </c>
      <c r="B71" s="12" t="s">
        <v>317</v>
      </c>
      <c r="C71" s="12" t="s">
        <v>318</v>
      </c>
      <c r="D71" s="13" t="s">
        <v>45</v>
      </c>
      <c r="E71" s="13" t="s">
        <v>46</v>
      </c>
      <c r="F71" s="12" t="s">
        <v>7</v>
      </c>
      <c r="G71" s="12" t="s">
        <v>309</v>
      </c>
      <c r="H71" s="12" t="s">
        <v>319</v>
      </c>
      <c r="I71" s="14" t="s">
        <v>4</v>
      </c>
      <c r="J71" s="12" t="s">
        <v>320</v>
      </c>
      <c r="K71" s="12"/>
      <c r="L71" s="15" t="s">
        <v>10</v>
      </c>
      <c r="M71" s="16"/>
      <c r="N71" s="17" t="str">
        <f aca="false">IF(M71="","",M71+4)</f>
        <v/>
      </c>
      <c r="O71" s="15"/>
      <c r="P71" s="18" t="str">
        <f aca="false">SUBSTITUTE(SUBSTITUTE(IF(I71="A",Μηνύματα!$B$7,Μηνύματα!$B$8),"{ΚΑΤΑΣΤΗΜΑ}",B71),"{ΟΝΟΜΑ}",Μηνύματα!$B$4)</f>
        <v>Γεια σας! 👋 Είμαι ο/η [Το όνομά σου] από την Anbit (anbit.gr). Είδαμε το Gazi View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2" customFormat="false" ht="90.25" hidden="false" customHeight="false" outlineLevel="0" collapsed="false">
      <c r="A72" s="12" t="n">
        <v>68</v>
      </c>
      <c r="B72" s="12" t="s">
        <v>321</v>
      </c>
      <c r="C72" s="12" t="s">
        <v>322</v>
      </c>
      <c r="D72" s="13" t="s">
        <v>45</v>
      </c>
      <c r="E72" s="13" t="s">
        <v>46</v>
      </c>
      <c r="F72" s="12" t="s">
        <v>7</v>
      </c>
      <c r="G72" s="12" t="s">
        <v>152</v>
      </c>
      <c r="H72" s="12" t="s">
        <v>323</v>
      </c>
      <c r="I72" s="14" t="s">
        <v>4</v>
      </c>
      <c r="J72" s="12"/>
      <c r="K72" s="12"/>
      <c r="L72" s="15" t="s">
        <v>10</v>
      </c>
      <c r="M72" s="16"/>
      <c r="N72" s="17" t="str">
        <f aca="false">IF(M72="","",M72+4)</f>
        <v/>
      </c>
      <c r="O72" s="15"/>
      <c r="P72" s="18" t="str">
        <f aca="false">SUBSTITUTE(SUBSTITUTE(IF(I72="A",Μηνύματα!$B$7,Μηνύματα!$B$8),"{ΚΑΤΑΣΤΗΜΑ}",B72),"{ΟΝΟΜΑ}",Μηνύματα!$B$4)</f>
        <v>Γεια σας! 👋 Είμαι ο/η [Το όνομά σου] από την Anbit (anbit.gr). Είδαμε το Glasshouse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3" customFormat="false" ht="90.25" hidden="false" customHeight="false" outlineLevel="0" collapsed="false">
      <c r="A73" s="12" t="n">
        <v>69</v>
      </c>
      <c r="B73" s="12" t="s">
        <v>324</v>
      </c>
      <c r="C73" s="12" t="s">
        <v>325</v>
      </c>
      <c r="D73" s="13" t="s">
        <v>45</v>
      </c>
      <c r="E73" s="13" t="s">
        <v>46</v>
      </c>
      <c r="F73" s="12" t="s">
        <v>7</v>
      </c>
      <c r="G73" s="12" t="s">
        <v>326</v>
      </c>
      <c r="H73" s="12" t="s">
        <v>327</v>
      </c>
      <c r="I73" s="14" t="s">
        <v>4</v>
      </c>
      <c r="J73" s="12" t="s">
        <v>328</v>
      </c>
      <c r="K73" s="12"/>
      <c r="L73" s="15" t="s">
        <v>10</v>
      </c>
      <c r="M73" s="16"/>
      <c r="N73" s="17" t="str">
        <f aca="false">IF(M73="","",M73+4)</f>
        <v/>
      </c>
      <c r="O73" s="15"/>
      <c r="P73" s="18" t="str">
        <f aca="false">SUBSTITUTE(SUBSTITUTE(IF(I73="A",Μηνύματα!$B$7,Μηνύματα!$B$8),"{ΚΑΤΑΣΤΗΜΑ}",B73),"{ΟΝΟΜΑ}",Μηνύματα!$B$4)</f>
        <v>Γεια σας! 👋 Είμαι ο/η [Το όνομά σου] από την Anbit (anbit.gr). Είδαμε το Hanky Panky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4" customFormat="false" ht="90.25" hidden="false" customHeight="false" outlineLevel="0" collapsed="false">
      <c r="A74" s="12" t="n">
        <v>70</v>
      </c>
      <c r="B74" s="12" t="s">
        <v>329</v>
      </c>
      <c r="C74" s="12" t="s">
        <v>330</v>
      </c>
      <c r="D74" s="13" t="s">
        <v>45</v>
      </c>
      <c r="E74" s="13" t="s">
        <v>46</v>
      </c>
      <c r="F74" s="12" t="s">
        <v>7</v>
      </c>
      <c r="G74" s="12" t="s">
        <v>331</v>
      </c>
      <c r="H74" s="12" t="s">
        <v>332</v>
      </c>
      <c r="I74" s="14" t="s">
        <v>4</v>
      </c>
      <c r="J74" s="12"/>
      <c r="K74" s="12"/>
      <c r="L74" s="15" t="s">
        <v>10</v>
      </c>
      <c r="M74" s="16"/>
      <c r="N74" s="17" t="str">
        <f aca="false">IF(M74="","",M74+4)</f>
        <v/>
      </c>
      <c r="O74" s="15"/>
      <c r="P74" s="18" t="str">
        <f aca="false">SUBSTITUTE(SUBSTITUTE(IF(I74="A",Μηνύματα!$B$7,Μηνύματα!$B$8),"{ΚΑΤΑΣΤΗΜΑ}",B74),"{ΟΝΟΜΑ}",Μηνύματα!$B$4)</f>
        <v>Γεια σας! 👋 Είμαι ο/η [Το όνομά σου] από την Anbit (anbit.gr). Είδαμε το Naval Mikrolimano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5" customFormat="false" ht="90.25" hidden="false" customHeight="false" outlineLevel="0" collapsed="false">
      <c r="A75" s="12" t="n">
        <v>71</v>
      </c>
      <c r="B75" s="12" t="s">
        <v>333</v>
      </c>
      <c r="C75" s="12" t="s">
        <v>334</v>
      </c>
      <c r="D75" s="13" t="s">
        <v>45</v>
      </c>
      <c r="E75" s="13" t="s">
        <v>46</v>
      </c>
      <c r="F75" s="12" t="s">
        <v>7</v>
      </c>
      <c r="G75" s="12"/>
      <c r="H75" s="12" t="s">
        <v>315</v>
      </c>
      <c r="I75" s="14" t="s">
        <v>4</v>
      </c>
      <c r="J75" s="12"/>
      <c r="K75" s="19" t="s">
        <v>105</v>
      </c>
      <c r="L75" s="15" t="s">
        <v>10</v>
      </c>
      <c r="M75" s="16"/>
      <c r="N75" s="17" t="str">
        <f aca="false">IF(M75="","",M75+4)</f>
        <v/>
      </c>
      <c r="O75" s="15"/>
      <c r="P75" s="18" t="str">
        <f aca="false">SUBSTITUTE(SUBSTITUTE(IF(I75="A",Μηνύματα!$B$7,Μηνύματα!$B$8),"{ΚΑΤΑΣΤΗΜΑ}",B75),"{ΟΝΟΜΑ}",Μηνύματα!$B$4)</f>
        <v>Γεια σας! 👋 Είμαι ο/η [Το όνομά σου] από την Anbit (anbit.gr). Είδαμε το Nonnas Athens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6" customFormat="false" ht="90.25" hidden="false" customHeight="false" outlineLevel="0" collapsed="false">
      <c r="A76" s="12" t="n">
        <v>72</v>
      </c>
      <c r="B76" s="12" t="s">
        <v>335</v>
      </c>
      <c r="C76" s="12" t="s">
        <v>336</v>
      </c>
      <c r="D76" s="13" t="s">
        <v>45</v>
      </c>
      <c r="E76" s="13" t="s">
        <v>46</v>
      </c>
      <c r="F76" s="12" t="s">
        <v>7</v>
      </c>
      <c r="G76" s="12" t="s">
        <v>337</v>
      </c>
      <c r="H76" s="12" t="s">
        <v>338</v>
      </c>
      <c r="I76" s="14" t="s">
        <v>4</v>
      </c>
      <c r="J76" s="12" t="s">
        <v>339</v>
      </c>
      <c r="K76" s="12"/>
      <c r="L76" s="15" t="s">
        <v>10</v>
      </c>
      <c r="M76" s="16"/>
      <c r="N76" s="17" t="str">
        <f aca="false">IF(M76="","",M76+4)</f>
        <v/>
      </c>
      <c r="O76" s="15"/>
      <c r="P76" s="18" t="str">
        <f aca="false">SUBSTITUTE(SUBSTITUTE(IF(I76="A",Μηνύματα!$B$7,Μηνύματα!$B$8),"{ΚΑΤΑΣΤΗΜΑ}",B76),"{ΟΝΟΜΑ}",Μηνύματα!$B$4)</f>
        <v>Γεια σας! 👋 Είμαι ο/η [Το όνομά σου] από την Anbit (anbit.gr). Είδαμε το oLa Ελληνικά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7" customFormat="false" ht="90.25" hidden="false" customHeight="false" outlineLevel="0" collapsed="false">
      <c r="A77" s="12" t="n">
        <v>73</v>
      </c>
      <c r="B77" s="12" t="s">
        <v>340</v>
      </c>
      <c r="C77" s="12" t="s">
        <v>341</v>
      </c>
      <c r="D77" s="13" t="s">
        <v>45</v>
      </c>
      <c r="E77" s="13" t="s">
        <v>46</v>
      </c>
      <c r="F77" s="12" t="s">
        <v>7</v>
      </c>
      <c r="G77" s="12" t="s">
        <v>342</v>
      </c>
      <c r="H77" s="12" t="s">
        <v>343</v>
      </c>
      <c r="I77" s="14" t="s">
        <v>4</v>
      </c>
      <c r="J77" s="12" t="s">
        <v>344</v>
      </c>
      <c r="K77" s="12"/>
      <c r="L77" s="15" t="s">
        <v>10</v>
      </c>
      <c r="M77" s="16"/>
      <c r="N77" s="17" t="str">
        <f aca="false">IF(M77="","",M77+4)</f>
        <v/>
      </c>
      <c r="O77" s="15"/>
      <c r="P77" s="18" t="str">
        <f aca="false">SUBSTITUTE(SUBSTITUTE(IF(I77="A",Μηνύματα!$B$7,Μηνύματα!$B$8),"{ΚΑΤΑΣΤΗΜΑ}",B77),"{ΟΝΟΜΑ}",Μηνύματα!$B$4)</f>
        <v>Γεια σας! 👋 Είμαι ο/η [Το όνομά σου] από την Anbit (anbit.gr). Είδαμε το Street Souvlaki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8" customFormat="false" ht="90.25" hidden="false" customHeight="false" outlineLevel="0" collapsed="false">
      <c r="A78" s="12" t="n">
        <v>74</v>
      </c>
      <c r="B78" s="12" t="s">
        <v>345</v>
      </c>
      <c r="C78" s="12" t="s">
        <v>346</v>
      </c>
      <c r="D78" s="13" t="s">
        <v>45</v>
      </c>
      <c r="E78" s="13" t="s">
        <v>46</v>
      </c>
      <c r="F78" s="12" t="s">
        <v>7</v>
      </c>
      <c r="G78" s="12" t="s">
        <v>347</v>
      </c>
      <c r="H78" s="12" t="s">
        <v>348</v>
      </c>
      <c r="I78" s="14" t="s">
        <v>4</v>
      </c>
      <c r="J78" s="12"/>
      <c r="K78" s="19" t="s">
        <v>284</v>
      </c>
      <c r="L78" s="15" t="s">
        <v>10</v>
      </c>
      <c r="M78" s="16"/>
      <c r="N78" s="17" t="str">
        <f aca="false">IF(M78="","",M78+4)</f>
        <v/>
      </c>
      <c r="O78" s="15"/>
      <c r="P78" s="18" t="str">
        <f aca="false">SUBSTITUTE(SUBSTITUTE(IF(I78="A",Μηνύματα!$B$7,Μηνύματα!$B$8),"{ΚΑΤΑΣΤΗΜΑ}",B78),"{ΟΝΟΜΑ}",Μηνύματα!$B$4)</f>
        <v>Γεια σας! 👋 Είμαι ο/η [Το όνομά σου] από την Anbit (anbit.gr). Είδαμε το Γήτεμα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79" customFormat="false" ht="90.25" hidden="false" customHeight="false" outlineLevel="0" collapsed="false">
      <c r="A79" s="12" t="n">
        <v>75</v>
      </c>
      <c r="B79" s="12" t="s">
        <v>349</v>
      </c>
      <c r="C79" s="12" t="s">
        <v>350</v>
      </c>
      <c r="D79" s="13" t="s">
        <v>45</v>
      </c>
      <c r="E79" s="13" t="s">
        <v>46</v>
      </c>
      <c r="F79" s="12" t="s">
        <v>7</v>
      </c>
      <c r="G79" s="12" t="s">
        <v>351</v>
      </c>
      <c r="H79" s="12" t="s">
        <v>352</v>
      </c>
      <c r="I79" s="14" t="s">
        <v>4</v>
      </c>
      <c r="J79" s="12" t="s">
        <v>353</v>
      </c>
      <c r="K79" s="12"/>
      <c r="L79" s="15" t="s">
        <v>10</v>
      </c>
      <c r="M79" s="16"/>
      <c r="N79" s="17" t="str">
        <f aca="false">IF(M79="","",M79+4)</f>
        <v/>
      </c>
      <c r="O79" s="15"/>
      <c r="P79" s="18" t="str">
        <f aca="false">SUBSTITUTE(SUBSTITUTE(IF(I79="A",Μηνύματα!$B$7,Μηνύματα!$B$8),"{ΚΑΤΑΣΤΗΜΑ}",B79),"{ΟΝΟΜΑ}",Μηνύματα!$B$4)</f>
        <v>Γεια σας! 👋 Είμαι ο/η [Το όνομά σου] από την Anbit (anbit.gr). Είδαμε το Εν Αιθρία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0" customFormat="false" ht="90.25" hidden="false" customHeight="false" outlineLevel="0" collapsed="false">
      <c r="A80" s="12" t="n">
        <v>76</v>
      </c>
      <c r="B80" s="12" t="s">
        <v>354</v>
      </c>
      <c r="C80" s="12" t="s">
        <v>355</v>
      </c>
      <c r="D80" s="13" t="s">
        <v>45</v>
      </c>
      <c r="E80" s="13" t="s">
        <v>46</v>
      </c>
      <c r="F80" s="12" t="s">
        <v>7</v>
      </c>
      <c r="G80" s="12" t="s">
        <v>356</v>
      </c>
      <c r="H80" s="12" t="s">
        <v>357</v>
      </c>
      <c r="I80" s="14" t="s">
        <v>4</v>
      </c>
      <c r="J80" s="12" t="s">
        <v>358</v>
      </c>
      <c r="K80" s="12"/>
      <c r="L80" s="15" t="s">
        <v>10</v>
      </c>
      <c r="M80" s="16"/>
      <c r="N80" s="17" t="str">
        <f aca="false">IF(M80="","",M80+4)</f>
        <v/>
      </c>
      <c r="O80" s="15"/>
      <c r="P80" s="18" t="str">
        <f aca="false">SUBSTITUTE(SUBSTITUTE(IF(I80="A",Μηνύματα!$B$7,Μηνύματα!$B$8),"{ΚΑΤΑΣΤΗΜΑ}",B80),"{ΟΝΟΜΑ}",Μηνύματα!$B$4)</f>
        <v>Γεια σας! 👋 Είμαι ο/η [Το όνομά σου] από την Anbit (anbit.gr). Είδαμε το Η Πόλη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1" customFormat="false" ht="90.25" hidden="false" customHeight="false" outlineLevel="0" collapsed="false">
      <c r="A81" s="12" t="n">
        <v>77</v>
      </c>
      <c r="B81" s="12" t="s">
        <v>359</v>
      </c>
      <c r="C81" s="12" t="s">
        <v>360</v>
      </c>
      <c r="D81" s="13" t="s">
        <v>45</v>
      </c>
      <c r="E81" s="13" t="s">
        <v>46</v>
      </c>
      <c r="F81" s="12" t="s">
        <v>7</v>
      </c>
      <c r="G81" s="12" t="s">
        <v>361</v>
      </c>
      <c r="H81" s="12" t="s">
        <v>362</v>
      </c>
      <c r="I81" s="14" t="s">
        <v>4</v>
      </c>
      <c r="J81" s="12" t="s">
        <v>363</v>
      </c>
      <c r="K81" s="12"/>
      <c r="L81" s="15" t="s">
        <v>10</v>
      </c>
      <c r="M81" s="16"/>
      <c r="N81" s="17" t="str">
        <f aca="false">IF(M81="","",M81+4)</f>
        <v/>
      </c>
      <c r="O81" s="15"/>
      <c r="P81" s="18" t="str">
        <f aca="false">SUBSTITUTE(SUBSTITUTE(IF(I81="A",Μηνύματα!$B$7,Μηνύματα!$B$8),"{ΚΑΤΑΣΤΗΜΑ}",B81),"{ΟΝΟΜΑ}",Μηνύματα!$B$4)</f>
        <v>Γεια σας! 👋 Είμαι ο/η [Το όνομά σου] από την Anbit (anbit.gr). Είδαμε το Καπάνι Μάρκετ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2" customFormat="false" ht="90.25" hidden="false" customHeight="false" outlineLevel="0" collapsed="false">
      <c r="A82" s="12" t="n">
        <v>78</v>
      </c>
      <c r="B82" s="12" t="s">
        <v>364</v>
      </c>
      <c r="C82" s="12" t="s">
        <v>365</v>
      </c>
      <c r="D82" s="13" t="s">
        <v>45</v>
      </c>
      <c r="E82" s="13" t="s">
        <v>46</v>
      </c>
      <c r="F82" s="12" t="s">
        <v>7</v>
      </c>
      <c r="G82" s="12" t="s">
        <v>366</v>
      </c>
      <c r="H82" s="12" t="s">
        <v>315</v>
      </c>
      <c r="I82" s="14" t="s">
        <v>4</v>
      </c>
      <c r="J82" s="12" t="s">
        <v>367</v>
      </c>
      <c r="K82" s="12"/>
      <c r="L82" s="15" t="s">
        <v>10</v>
      </c>
      <c r="M82" s="16"/>
      <c r="N82" s="17" t="str">
        <f aca="false">IF(M82="","",M82+4)</f>
        <v/>
      </c>
      <c r="O82" s="15"/>
      <c r="P82" s="18" t="str">
        <f aca="false">SUBSTITUTE(SUBSTITUTE(IF(I82="A",Μηνύματα!$B$7,Μηνύματα!$B$8),"{ΚΑΤΑΣΤΗΜΑ}",B82),"{ΟΝΟΜΑ}",Μηνύματα!$B$4)</f>
        <v>Γεια σας! 👋 Είμαι ο/η [Το όνομά σου] από την Anbit (anbit.gr). Είδαμε το Καρδερίνα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3" customFormat="false" ht="90.25" hidden="false" customHeight="false" outlineLevel="0" collapsed="false">
      <c r="A83" s="12" t="n">
        <v>79</v>
      </c>
      <c r="B83" s="12" t="s">
        <v>368</v>
      </c>
      <c r="C83" s="12" t="s">
        <v>369</v>
      </c>
      <c r="D83" s="13" t="s">
        <v>45</v>
      </c>
      <c r="E83" s="13" t="s">
        <v>46</v>
      </c>
      <c r="F83" s="12" t="s">
        <v>7</v>
      </c>
      <c r="G83" s="12"/>
      <c r="H83" s="12" t="s">
        <v>370</v>
      </c>
      <c r="I83" s="14" t="s">
        <v>4</v>
      </c>
      <c r="J83" s="12" t="s">
        <v>371</v>
      </c>
      <c r="K83" s="19" t="s">
        <v>105</v>
      </c>
      <c r="L83" s="15" t="s">
        <v>10</v>
      </c>
      <c r="M83" s="16"/>
      <c r="N83" s="17" t="str">
        <f aca="false">IF(M83="","",M83+4)</f>
        <v/>
      </c>
      <c r="O83" s="15"/>
      <c r="P83" s="18" t="str">
        <f aca="false">SUBSTITUTE(SUBSTITUTE(IF(I83="A",Μηνύματα!$B$7,Μηνύματα!$B$8),"{ΚΑΤΑΣΤΗΜΑ}",B83),"{ΟΝΟΜΑ}",Μηνύματα!$B$4)</f>
        <v>Γεια σας! 👋 Είμαι ο/η [Το όνομά σου] από την Anbit (anbit.gr). Είδαμε το Κουτουρού Μεζετζίδικον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4" customFormat="false" ht="90.25" hidden="false" customHeight="false" outlineLevel="0" collapsed="false">
      <c r="A84" s="12" t="n">
        <v>80</v>
      </c>
      <c r="B84" s="12" t="s">
        <v>372</v>
      </c>
      <c r="C84" s="12" t="s">
        <v>373</v>
      </c>
      <c r="D84" s="13" t="s">
        <v>45</v>
      </c>
      <c r="E84" s="13" t="s">
        <v>46</v>
      </c>
      <c r="F84" s="12" t="s">
        <v>7</v>
      </c>
      <c r="G84" s="12"/>
      <c r="H84" s="12" t="s">
        <v>374</v>
      </c>
      <c r="I84" s="14" t="s">
        <v>4</v>
      </c>
      <c r="J84" s="12" t="s">
        <v>375</v>
      </c>
      <c r="K84" s="19" t="s">
        <v>105</v>
      </c>
      <c r="L84" s="15" t="s">
        <v>10</v>
      </c>
      <c r="M84" s="16"/>
      <c r="N84" s="17" t="str">
        <f aca="false">IF(M84="","",M84+4)</f>
        <v/>
      </c>
      <c r="O84" s="15"/>
      <c r="P84" s="18" t="str">
        <f aca="false">SUBSTITUTE(SUBSTITUTE(IF(I84="A",Μηνύματα!$B$7,Μηνύματα!$B$8),"{ΚΑΤΑΣΤΗΜΑ}",B84),"{ΟΝΟΜΑ}",Μηνύματα!$B$4)</f>
        <v>Γεια σας! 👋 Είμαι ο/η [Το όνομά σου] από την Anbit (anbit.gr). Είδαμε το Μέλισσες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5" customFormat="false" ht="90.25" hidden="false" customHeight="false" outlineLevel="0" collapsed="false">
      <c r="A85" s="12" t="n">
        <v>81</v>
      </c>
      <c r="B85" s="12" t="s">
        <v>376</v>
      </c>
      <c r="C85" s="12" t="s">
        <v>377</v>
      </c>
      <c r="D85" s="13" t="s">
        <v>45</v>
      </c>
      <c r="E85" s="13" t="s">
        <v>46</v>
      </c>
      <c r="F85" s="12" t="s">
        <v>7</v>
      </c>
      <c r="G85" s="12" t="s">
        <v>378</v>
      </c>
      <c r="H85" s="12" t="s">
        <v>379</v>
      </c>
      <c r="I85" s="14" t="s">
        <v>4</v>
      </c>
      <c r="J85" s="12" t="s">
        <v>380</v>
      </c>
      <c r="K85" s="12"/>
      <c r="L85" s="15" t="s">
        <v>10</v>
      </c>
      <c r="M85" s="16"/>
      <c r="N85" s="17" t="str">
        <f aca="false">IF(M85="","",M85+4)</f>
        <v/>
      </c>
      <c r="O85" s="15"/>
      <c r="P85" s="18" t="str">
        <f aca="false">SUBSTITUTE(SUBSTITUTE(IF(I85="A",Μηνύματα!$B$7,Μηνύματα!$B$8),"{ΚΑΤΑΣΤΗΜΑ}",B85),"{ΟΝΟΜΑ}",Μηνύματα!$B$4)</f>
        <v>Γεια σας! 👋 Είμαι ο/η [Το όνομά σου] από την Anbit (anbit.gr). Είδαμε το Μικρασιάτικο Μεζεδοπωλείο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6" customFormat="false" ht="90.25" hidden="false" customHeight="false" outlineLevel="0" collapsed="false">
      <c r="A86" s="12" t="n">
        <v>82</v>
      </c>
      <c r="B86" s="12" t="s">
        <v>381</v>
      </c>
      <c r="C86" s="12" t="s">
        <v>382</v>
      </c>
      <c r="D86" s="13" t="s">
        <v>45</v>
      </c>
      <c r="E86" s="13" t="s">
        <v>46</v>
      </c>
      <c r="F86" s="12" t="s">
        <v>7</v>
      </c>
      <c r="G86" s="12" t="s">
        <v>383</v>
      </c>
      <c r="H86" s="12" t="s">
        <v>384</v>
      </c>
      <c r="I86" s="14" t="s">
        <v>4</v>
      </c>
      <c r="J86" s="12" t="s">
        <v>385</v>
      </c>
      <c r="K86" s="12"/>
      <c r="L86" s="15" t="s">
        <v>10</v>
      </c>
      <c r="M86" s="16"/>
      <c r="N86" s="17" t="str">
        <f aca="false">IF(M86="","",M86+4)</f>
        <v/>
      </c>
      <c r="O86" s="15"/>
      <c r="P86" s="18" t="str">
        <f aca="false">SUBSTITUTE(SUBSTITUTE(IF(I86="A",Μηνύματα!$B$7,Μηνύματα!$B$8),"{ΚΑΤΑΣΤΗΜΑ}",B86),"{ΟΝΟΜΑ}",Μηνύματα!$B$4)</f>
        <v>Γεια σας! 👋 Είμαι ο/η [Το όνομά σου] από την Anbit (anbit.gr). Είδαμε το Μπαρ-Μπεε-Κιου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7" customFormat="false" ht="90.25" hidden="false" customHeight="false" outlineLevel="0" collapsed="false">
      <c r="A87" s="12" t="n">
        <v>83</v>
      </c>
      <c r="B87" s="12" t="s">
        <v>386</v>
      </c>
      <c r="C87" s="12" t="s">
        <v>387</v>
      </c>
      <c r="D87" s="13" t="s">
        <v>45</v>
      </c>
      <c r="E87" s="13" t="s">
        <v>46</v>
      </c>
      <c r="F87" s="12" t="s">
        <v>7</v>
      </c>
      <c r="G87" s="12" t="s">
        <v>388</v>
      </c>
      <c r="H87" s="12" t="s">
        <v>389</v>
      </c>
      <c r="I87" s="14" t="s">
        <v>4</v>
      </c>
      <c r="J87" s="12" t="s">
        <v>390</v>
      </c>
      <c r="K87" s="12"/>
      <c r="L87" s="15" t="s">
        <v>10</v>
      </c>
      <c r="M87" s="16"/>
      <c r="N87" s="17" t="str">
        <f aca="false">IF(M87="","",M87+4)</f>
        <v/>
      </c>
      <c r="O87" s="15"/>
      <c r="P87" s="18" t="str">
        <f aca="false">SUBSTITUTE(SUBSTITUTE(IF(I87="A",Μηνύματα!$B$7,Μηνύματα!$B$8),"{ΚΑΤΑΣΤΗΜΑ}",B87),"{ΟΝΟΜΑ}",Μηνύματα!$B$4)</f>
        <v>Γεια σας! 👋 Είμαι ο/η [Το όνομά σου] από την Anbit (anbit.gr). Είδαμε το Μπαϊρακτάρης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8" customFormat="false" ht="90.25" hidden="false" customHeight="false" outlineLevel="0" collapsed="false">
      <c r="A88" s="12" t="n">
        <v>84</v>
      </c>
      <c r="B88" s="12" t="s">
        <v>391</v>
      </c>
      <c r="C88" s="12" t="s">
        <v>392</v>
      </c>
      <c r="D88" s="13" t="s">
        <v>45</v>
      </c>
      <c r="E88" s="13" t="s">
        <v>46</v>
      </c>
      <c r="F88" s="12" t="s">
        <v>7</v>
      </c>
      <c r="G88" s="12" t="s">
        <v>393</v>
      </c>
      <c r="H88" s="12" t="s">
        <v>394</v>
      </c>
      <c r="I88" s="14" t="s">
        <v>4</v>
      </c>
      <c r="J88" s="12"/>
      <c r="K88" s="19" t="s">
        <v>284</v>
      </c>
      <c r="L88" s="15" t="s">
        <v>10</v>
      </c>
      <c r="M88" s="16"/>
      <c r="N88" s="17" t="str">
        <f aca="false">IF(M88="","",M88+4)</f>
        <v/>
      </c>
      <c r="O88" s="15"/>
      <c r="P88" s="18" t="str">
        <f aca="false">SUBSTITUTE(SUBSTITUTE(IF(I88="A",Μηνύματα!$B$7,Μηνύματα!$B$8),"{ΚΑΤΑΣΤΗΜΑ}",B88),"{ΟΝΟΜΑ}",Μηνύματα!$B$4)</f>
        <v>Γεια σας! 👋 Είμαι ο/η [Το όνομά σου] από την Anbit (anbit.gr). Είδαμε το Μπρούλης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89" customFormat="false" ht="90.25" hidden="false" customHeight="false" outlineLevel="0" collapsed="false">
      <c r="A89" s="12" t="n">
        <v>85</v>
      </c>
      <c r="B89" s="12" t="s">
        <v>395</v>
      </c>
      <c r="C89" s="12" t="s">
        <v>396</v>
      </c>
      <c r="D89" s="13" t="s">
        <v>45</v>
      </c>
      <c r="E89" s="13" t="s">
        <v>46</v>
      </c>
      <c r="F89" s="12" t="s">
        <v>7</v>
      </c>
      <c r="G89" s="12" t="s">
        <v>397</v>
      </c>
      <c r="H89" s="12" t="s">
        <v>348</v>
      </c>
      <c r="I89" s="14" t="s">
        <v>4</v>
      </c>
      <c r="J89" s="12"/>
      <c r="K89" s="19" t="s">
        <v>284</v>
      </c>
      <c r="L89" s="15" t="s">
        <v>10</v>
      </c>
      <c r="M89" s="16"/>
      <c r="N89" s="17" t="str">
        <f aca="false">IF(M89="","",M89+4)</f>
        <v/>
      </c>
      <c r="O89" s="15"/>
      <c r="P89" s="18" t="str">
        <f aca="false">SUBSTITUTE(SUBSTITUTE(IF(I89="A",Μηνύματα!$B$7,Μηνύματα!$B$8),"{ΚΑΤΑΣΤΗΜΑ}",B89),"{ΟΝΟΜΑ}",Μηνύματα!$B$4)</f>
        <v>Γεια σας! 👋 Είμαι ο/η [Το όνομά σου] από την Anbit (anbit.gr). Είδαμε το Μυροβόλος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0" customFormat="false" ht="90.25" hidden="false" customHeight="false" outlineLevel="0" collapsed="false">
      <c r="A90" s="12" t="n">
        <v>86</v>
      </c>
      <c r="B90" s="12" t="s">
        <v>398</v>
      </c>
      <c r="C90" s="12" t="s">
        <v>399</v>
      </c>
      <c r="D90" s="13" t="s">
        <v>45</v>
      </c>
      <c r="E90" s="13" t="s">
        <v>46</v>
      </c>
      <c r="F90" s="12" t="s">
        <v>7</v>
      </c>
      <c r="G90" s="12" t="s">
        <v>400</v>
      </c>
      <c r="H90" s="12" t="s">
        <v>401</v>
      </c>
      <c r="I90" s="14" t="s">
        <v>4</v>
      </c>
      <c r="J90" s="12"/>
      <c r="K90" s="19" t="s">
        <v>105</v>
      </c>
      <c r="L90" s="15" t="s">
        <v>10</v>
      </c>
      <c r="M90" s="16"/>
      <c r="N90" s="17" t="str">
        <f aca="false">IF(M90="","",M90+4)</f>
        <v/>
      </c>
      <c r="O90" s="15"/>
      <c r="P90" s="18" t="str">
        <f aca="false">SUBSTITUTE(SUBSTITUTE(IF(I90="A",Μηνύματα!$B$7,Μηνύματα!$B$8),"{ΚΑΤΑΣΤΗΜΑ}",B90),"{ΟΝΟΜΑ}",Μηνύματα!$B$4)</f>
        <v>Γεια σας! 👋 Είμαι ο/η [Το όνομά σου] από την Anbit (anbit.gr). Είδαμε το Ντεμέκ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1" customFormat="false" ht="90.25" hidden="false" customHeight="false" outlineLevel="0" collapsed="false">
      <c r="A91" s="12" t="n">
        <v>87</v>
      </c>
      <c r="B91" s="12" t="s">
        <v>402</v>
      </c>
      <c r="C91" s="12" t="s">
        <v>403</v>
      </c>
      <c r="D91" s="13" t="s">
        <v>45</v>
      </c>
      <c r="E91" s="13" t="s">
        <v>46</v>
      </c>
      <c r="F91" s="12" t="s">
        <v>7</v>
      </c>
      <c r="G91" s="12" t="s">
        <v>404</v>
      </c>
      <c r="H91" s="12" t="s">
        <v>310</v>
      </c>
      <c r="I91" s="14" t="s">
        <v>4</v>
      </c>
      <c r="J91" s="12"/>
      <c r="K91" s="12"/>
      <c r="L91" s="15" t="s">
        <v>10</v>
      </c>
      <c r="M91" s="16"/>
      <c r="N91" s="17" t="str">
        <f aca="false">IF(M91="","",M91+4)</f>
        <v/>
      </c>
      <c r="O91" s="15"/>
      <c r="P91" s="18" t="str">
        <f aca="false">SUBSTITUTE(SUBSTITUTE(IF(I91="A",Μηνύματα!$B$7,Μηνύματα!$B$8),"{ΚΑΤΑΣΤΗΜΑ}",B91),"{ΟΝΟΜΑ}",Μηνύματα!$B$4)</f>
        <v>Γεια σας! 👋 Είμαι ο/η [Το όνομά σου] από την Anbit (anbit.gr). Είδαμε το Ο Άλλος μπαρ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2" customFormat="false" ht="90.25" hidden="false" customHeight="false" outlineLevel="0" collapsed="false">
      <c r="A92" s="12" t="n">
        <v>88</v>
      </c>
      <c r="B92" s="12" t="s">
        <v>405</v>
      </c>
      <c r="C92" s="12" t="s">
        <v>406</v>
      </c>
      <c r="D92" s="13" t="s">
        <v>45</v>
      </c>
      <c r="E92" s="13" t="s">
        <v>46</v>
      </c>
      <c r="F92" s="12" t="s">
        <v>7</v>
      </c>
      <c r="G92" s="12" t="s">
        <v>407</v>
      </c>
      <c r="H92" s="12" t="s">
        <v>310</v>
      </c>
      <c r="I92" s="14" t="s">
        <v>4</v>
      </c>
      <c r="J92" s="12" t="s">
        <v>408</v>
      </c>
      <c r="K92" s="12"/>
      <c r="L92" s="15" t="s">
        <v>10</v>
      </c>
      <c r="M92" s="16"/>
      <c r="N92" s="17" t="str">
        <f aca="false">IF(M92="","",M92+4)</f>
        <v/>
      </c>
      <c r="O92" s="15"/>
      <c r="P92" s="18" t="str">
        <f aca="false">SUBSTITUTE(SUBSTITUTE(IF(I92="A",Μηνύματα!$B$7,Μηνύματα!$B$8),"{ΚΑΤΑΣΤΗΜΑ}",B92),"{ΟΝΟΜΑ}",Μηνύματα!$B$4)</f>
        <v>Γεια σας! 👋 Είμαι ο/η [Το όνομά σου] από την Anbit (anbit.gr). Είδαμε το Ο Ένοικος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3" customFormat="false" ht="90.25" hidden="false" customHeight="false" outlineLevel="0" collapsed="false">
      <c r="A93" s="12" t="n">
        <v>89</v>
      </c>
      <c r="B93" s="12" t="s">
        <v>409</v>
      </c>
      <c r="C93" s="12" t="s">
        <v>410</v>
      </c>
      <c r="D93" s="13" t="s">
        <v>45</v>
      </c>
      <c r="E93" s="13" t="s">
        <v>46</v>
      </c>
      <c r="F93" s="12" t="s">
        <v>7</v>
      </c>
      <c r="G93" s="12" t="s">
        <v>194</v>
      </c>
      <c r="H93" s="12" t="s">
        <v>411</v>
      </c>
      <c r="I93" s="14" t="s">
        <v>4</v>
      </c>
      <c r="J93" s="12" t="s">
        <v>412</v>
      </c>
      <c r="K93" s="12"/>
      <c r="L93" s="15" t="s">
        <v>10</v>
      </c>
      <c r="M93" s="16"/>
      <c r="N93" s="17" t="str">
        <f aca="false">IF(M93="","",M93+4)</f>
        <v/>
      </c>
      <c r="O93" s="15"/>
      <c r="P93" s="18" t="str">
        <f aca="false">SUBSTITUTE(SUBSTITUTE(IF(I93="A",Μηνύματα!$B$7,Μηνύματα!$B$8),"{ΚΑΤΑΣΤΗΜΑ}",B93),"{ΟΝΟΜΑ}",Μηνύματα!$B$4)</f>
        <v>Γεια σας! 👋 Είμαι ο/η [Το όνομά σου] από την Anbit (anbit.gr). Είδαμε το Ουζερί Η Άποψις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4" customFormat="false" ht="90.25" hidden="false" customHeight="false" outlineLevel="0" collapsed="false">
      <c r="A94" s="12" t="n">
        <v>90</v>
      </c>
      <c r="B94" s="12" t="s">
        <v>413</v>
      </c>
      <c r="C94" s="12" t="s">
        <v>414</v>
      </c>
      <c r="D94" s="13" t="s">
        <v>45</v>
      </c>
      <c r="E94" s="13" t="s">
        <v>46</v>
      </c>
      <c r="F94" s="12" t="s">
        <v>7</v>
      </c>
      <c r="G94" s="12" t="s">
        <v>415</v>
      </c>
      <c r="H94" s="12" t="s">
        <v>416</v>
      </c>
      <c r="I94" s="14" t="s">
        <v>4</v>
      </c>
      <c r="J94" s="12" t="s">
        <v>417</v>
      </c>
      <c r="K94" s="12"/>
      <c r="L94" s="15" t="s">
        <v>10</v>
      </c>
      <c r="M94" s="16"/>
      <c r="N94" s="17" t="str">
        <f aca="false">IF(M94="","",M94+4)</f>
        <v/>
      </c>
      <c r="O94" s="15"/>
      <c r="P94" s="18" t="str">
        <f aca="false">SUBSTITUTE(SUBSTITUTE(IF(I94="A",Μηνύματα!$B$7,Μηνύματα!$B$8),"{ΚΑΤΑΣΤΗΜΑ}",B94),"{ΟΝΟΜΑ}",Μηνύματα!$B$4)</f>
        <v>Γεια σας! 👋 Είμαι ο/η [Το όνομά σου] από την Anbit (anbit.gr). Είδαμε το Πάμε Τσίπουρο Φωκίωνος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5" customFormat="false" ht="90.25" hidden="false" customHeight="false" outlineLevel="0" collapsed="false">
      <c r="A95" s="12" t="n">
        <v>91</v>
      </c>
      <c r="B95" s="12" t="s">
        <v>418</v>
      </c>
      <c r="C95" s="12" t="s">
        <v>419</v>
      </c>
      <c r="D95" s="13" t="s">
        <v>45</v>
      </c>
      <c r="E95" s="13" t="s">
        <v>46</v>
      </c>
      <c r="F95" s="12" t="s">
        <v>7</v>
      </c>
      <c r="G95" s="12" t="s">
        <v>420</v>
      </c>
      <c r="H95" s="12" t="s">
        <v>343</v>
      </c>
      <c r="I95" s="14" t="s">
        <v>4</v>
      </c>
      <c r="J95" s="12" t="s">
        <v>421</v>
      </c>
      <c r="K95" s="12"/>
      <c r="L95" s="15" t="s">
        <v>10</v>
      </c>
      <c r="M95" s="16"/>
      <c r="N95" s="17" t="str">
        <f aca="false">IF(M95="","",M95+4)</f>
        <v/>
      </c>
      <c r="O95" s="15"/>
      <c r="P95" s="18" t="str">
        <f aca="false">SUBSTITUTE(SUBSTITUTE(IF(I95="A",Μηνύματα!$B$7,Μηνύματα!$B$8),"{ΚΑΤΑΣΤΗΜΑ}",B95),"{ΟΝΟΜΑ}",Μηνύματα!$B$4)</f>
        <v>Γεια σας! 👋 Είμαι ο/η [Το όνομά σου] από την Anbit (anbit.gr). Είδαμε το Σουβλατζίδικο Γυροβολιές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6" customFormat="false" ht="90.25" hidden="false" customHeight="false" outlineLevel="0" collapsed="false">
      <c r="A96" s="12" t="n">
        <v>92</v>
      </c>
      <c r="B96" s="12" t="s">
        <v>422</v>
      </c>
      <c r="C96" s="12" t="s">
        <v>423</v>
      </c>
      <c r="D96" s="13" t="s">
        <v>45</v>
      </c>
      <c r="E96" s="13" t="s">
        <v>46</v>
      </c>
      <c r="F96" s="12" t="s">
        <v>7</v>
      </c>
      <c r="G96" s="12" t="s">
        <v>424</v>
      </c>
      <c r="H96" s="12" t="s">
        <v>370</v>
      </c>
      <c r="I96" s="14" t="s">
        <v>4</v>
      </c>
      <c r="J96" s="12" t="s">
        <v>425</v>
      </c>
      <c r="K96" s="12"/>
      <c r="L96" s="15" t="s">
        <v>10</v>
      </c>
      <c r="M96" s="16"/>
      <c r="N96" s="17" t="str">
        <f aca="false">IF(M96="","",M96+4)</f>
        <v/>
      </c>
      <c r="O96" s="15"/>
      <c r="P96" s="18" t="str">
        <f aca="false">SUBSTITUTE(SUBSTITUTE(IF(I96="A",Μηνύματα!$B$7,Μηνύματα!$B$8),"{ΚΑΤΑΣΤΗΜΑ}",B96),"{ΟΝΟΜΑ}",Μηνύματα!$B$4)</f>
        <v>Γεια σας! 👋 Είμαι ο/η [Το όνομά σου] από την Anbit (anbit.gr). Είδαμε το Στις 5 γύρες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7" customFormat="false" ht="90.25" hidden="false" customHeight="false" outlineLevel="0" collapsed="false">
      <c r="A97" s="12" t="n">
        <v>93</v>
      </c>
      <c r="B97" s="12" t="s">
        <v>426</v>
      </c>
      <c r="C97" s="12" t="s">
        <v>427</v>
      </c>
      <c r="D97" s="13" t="s">
        <v>45</v>
      </c>
      <c r="E97" s="13" t="s">
        <v>46</v>
      </c>
      <c r="F97" s="12" t="s">
        <v>7</v>
      </c>
      <c r="G97" s="12" t="s">
        <v>428</v>
      </c>
      <c r="H97" s="12" t="s">
        <v>429</v>
      </c>
      <c r="I97" s="14" t="s">
        <v>4</v>
      </c>
      <c r="J97" s="12"/>
      <c r="K97" s="12"/>
      <c r="L97" s="15" t="s">
        <v>10</v>
      </c>
      <c r="M97" s="16"/>
      <c r="N97" s="17" t="str">
        <f aca="false">IF(M97="","",M97+4)</f>
        <v/>
      </c>
      <c r="O97" s="15"/>
      <c r="P97" s="18" t="str">
        <f aca="false">SUBSTITUTE(SUBSTITUTE(IF(I97="A",Μηνύματα!$B$7,Μηνύματα!$B$8),"{ΚΑΤΑΣΤΗΜΑ}",B97),"{ΟΝΟΜΑ}",Μηνύματα!$B$4)</f>
        <v>Γεια σας! 👋 Είμαι ο/η [Το όνομά σου] από την Anbit (anbit.gr). Είδαμε το Ταβέρνα Θέα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8" customFormat="false" ht="90.25" hidden="false" customHeight="false" outlineLevel="0" collapsed="false">
      <c r="A98" s="12" t="n">
        <v>94</v>
      </c>
      <c r="B98" s="12" t="s">
        <v>430</v>
      </c>
      <c r="C98" s="12" t="s">
        <v>431</v>
      </c>
      <c r="D98" s="13" t="s">
        <v>45</v>
      </c>
      <c r="E98" s="13" t="s">
        <v>46</v>
      </c>
      <c r="F98" s="12" t="s">
        <v>7</v>
      </c>
      <c r="G98" s="12" t="s">
        <v>366</v>
      </c>
      <c r="H98" s="12" t="s">
        <v>389</v>
      </c>
      <c r="I98" s="14" t="s">
        <v>4</v>
      </c>
      <c r="J98" s="12" t="s">
        <v>432</v>
      </c>
      <c r="K98" s="12"/>
      <c r="L98" s="15" t="s">
        <v>10</v>
      </c>
      <c r="M98" s="16"/>
      <c r="N98" s="17" t="str">
        <f aca="false">IF(M98="","",M98+4)</f>
        <v/>
      </c>
      <c r="O98" s="15"/>
      <c r="P98" s="18" t="str">
        <f aca="false">SUBSTITUTE(SUBSTITUTE(IF(I98="A",Μηνύματα!$B$7,Μηνύματα!$B$8),"{ΚΑΤΑΣΤΗΜΑ}",B98),"{ΟΝΟΜΑ}",Μηνύματα!$B$4)</f>
        <v>Γεια σας! 👋 Είμαι ο/η [Το όνομά σου] από την Anbit (anbit.gr). Είδαμε το Ταβέρνα Οικονόμου 1930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99" customFormat="false" ht="90.25" hidden="false" customHeight="false" outlineLevel="0" collapsed="false">
      <c r="A99" s="12" t="n">
        <v>95</v>
      </c>
      <c r="B99" s="12" t="s">
        <v>433</v>
      </c>
      <c r="C99" s="12" t="s">
        <v>434</v>
      </c>
      <c r="D99" s="13" t="s">
        <v>45</v>
      </c>
      <c r="E99" s="13" t="s">
        <v>46</v>
      </c>
      <c r="F99" s="12" t="s">
        <v>7</v>
      </c>
      <c r="G99" s="12"/>
      <c r="H99" s="12" t="s">
        <v>379</v>
      </c>
      <c r="I99" s="14" t="s">
        <v>4</v>
      </c>
      <c r="J99" s="12" t="s">
        <v>435</v>
      </c>
      <c r="K99" s="19" t="s">
        <v>105</v>
      </c>
      <c r="L99" s="15" t="s">
        <v>10</v>
      </c>
      <c r="M99" s="16"/>
      <c r="N99" s="17" t="str">
        <f aca="false">IF(M99="","",M99+4)</f>
        <v/>
      </c>
      <c r="O99" s="15"/>
      <c r="P99" s="18" t="str">
        <f aca="false">SUBSTITUTE(SUBSTITUTE(IF(I99="A",Μηνύματα!$B$7,Μηνύματα!$B$8),"{ΚΑΤΑΣΤΗΜΑ}",B99),"{ΟΝΟΜΑ}",Μηνύματα!$B$4)</f>
        <v>Γεια σας! 👋 Είμαι ο/η [Το όνομά σου] από την Anbit (anbit.gr). Είδαμε το Τεμπεσίρι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0" customFormat="false" ht="90.25" hidden="false" customHeight="false" outlineLevel="0" collapsed="false">
      <c r="A100" s="12" t="n">
        <v>96</v>
      </c>
      <c r="B100" s="12" t="s">
        <v>436</v>
      </c>
      <c r="C100" s="12" t="s">
        <v>437</v>
      </c>
      <c r="D100" s="13" t="s">
        <v>45</v>
      </c>
      <c r="E100" s="13" t="s">
        <v>46</v>
      </c>
      <c r="F100" s="12" t="s">
        <v>7</v>
      </c>
      <c r="G100" s="12" t="s">
        <v>438</v>
      </c>
      <c r="H100" s="12" t="s">
        <v>439</v>
      </c>
      <c r="I100" s="14" t="s">
        <v>4</v>
      </c>
      <c r="J100" s="12"/>
      <c r="K100" s="12"/>
      <c r="L100" s="15" t="s">
        <v>10</v>
      </c>
      <c r="M100" s="16"/>
      <c r="N100" s="17" t="str">
        <f aca="false">IF(M100="","",M100+4)</f>
        <v/>
      </c>
      <c r="O100" s="15"/>
      <c r="P100" s="18" t="str">
        <f aca="false">SUBSTITUTE(SUBSTITUTE(IF(I100="A",Μηνύματα!$B$7,Μηνύματα!$B$8),"{ΚΑΤΑΣΤΗΜΑ}",B100),"{ΟΝΟΜΑ}",Μηνύματα!$B$4)</f>
        <v>Γεια σας! 👋 Είμαι ο/η [Το όνομά σου] από την Anbit (anbit.gr). Είδαμε το Το Μικιό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1" customFormat="false" ht="90.25" hidden="false" customHeight="false" outlineLevel="0" collapsed="false">
      <c r="A101" s="12" t="n">
        <v>97</v>
      </c>
      <c r="B101" s="12" t="s">
        <v>440</v>
      </c>
      <c r="C101" s="12" t="s">
        <v>441</v>
      </c>
      <c r="D101" s="13" t="s">
        <v>45</v>
      </c>
      <c r="E101" s="13" t="s">
        <v>46</v>
      </c>
      <c r="F101" s="12" t="s">
        <v>7</v>
      </c>
      <c r="G101" s="12" t="s">
        <v>442</v>
      </c>
      <c r="H101" s="12" t="s">
        <v>343</v>
      </c>
      <c r="I101" s="14" t="s">
        <v>4</v>
      </c>
      <c r="J101" s="12" t="s">
        <v>443</v>
      </c>
      <c r="K101" s="12"/>
      <c r="L101" s="15" t="s">
        <v>10</v>
      </c>
      <c r="M101" s="16"/>
      <c r="N101" s="17" t="str">
        <f aca="false">IF(M101="","",M101+4)</f>
        <v/>
      </c>
      <c r="O101" s="15"/>
      <c r="P101" s="18" t="str">
        <f aca="false">SUBSTITUTE(SUBSTITUTE(IF(I101="A",Μηνύματα!$B$7,Μηνύματα!$B$8),"{ΚΑΤΑΣΤΗΜΑ}",B101),"{ΟΝΟΜΑ}",Μηνύματα!$B$4)</f>
        <v>Γεια σας! 👋 Είμαι ο/η [Το όνομά σου] από την Anbit (anbit.gr). Είδαμε το Το σουβλάκι της Σαρρή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2" customFormat="false" ht="90.25" hidden="false" customHeight="false" outlineLevel="0" collapsed="false">
      <c r="A102" s="12" t="n">
        <v>98</v>
      </c>
      <c r="B102" s="12" t="s">
        <v>444</v>
      </c>
      <c r="C102" s="12" t="s">
        <v>445</v>
      </c>
      <c r="D102" s="13" t="s">
        <v>45</v>
      </c>
      <c r="E102" s="13" t="s">
        <v>46</v>
      </c>
      <c r="F102" s="12" t="s">
        <v>7</v>
      </c>
      <c r="G102" s="12" t="s">
        <v>446</v>
      </c>
      <c r="H102" s="12" t="s">
        <v>447</v>
      </c>
      <c r="I102" s="14" t="s">
        <v>5</v>
      </c>
      <c r="J102" s="12" t="s">
        <v>448</v>
      </c>
      <c r="K102" s="12"/>
      <c r="L102" s="15" t="s">
        <v>10</v>
      </c>
      <c r="M102" s="16"/>
      <c r="N102" s="17" t="str">
        <f aca="false">IF(M102="","",M102+4)</f>
        <v/>
      </c>
      <c r="O102" s="15"/>
      <c r="P102" s="18" t="str">
        <f aca="false">SUBSTITUTE(SUBSTITUTE(IF(I102="A",Μηνύματα!$B$7,Μηνύματα!$B$8),"{ΚΑΤΑΣΤΗΜΑ}",B102),"{ΟΝΟΜΑ}",Μηνύματα!$B$4)</f>
        <v>Γεια σας! 👋 Είμαι ο/η [Το όνομά σου] από την Anbit (anbit.gr). Είδαμε το Barato Espresso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3" customFormat="false" ht="90.25" hidden="false" customHeight="false" outlineLevel="0" collapsed="false">
      <c r="A103" s="12" t="n">
        <v>99</v>
      </c>
      <c r="B103" s="12" t="s">
        <v>449</v>
      </c>
      <c r="C103" s="12" t="s">
        <v>450</v>
      </c>
      <c r="D103" s="13" t="s">
        <v>45</v>
      </c>
      <c r="E103" s="13" t="s">
        <v>46</v>
      </c>
      <c r="F103" s="12" t="s">
        <v>7</v>
      </c>
      <c r="G103" s="12" t="s">
        <v>451</v>
      </c>
      <c r="H103" s="12" t="s">
        <v>119</v>
      </c>
      <c r="I103" s="14" t="s">
        <v>5</v>
      </c>
      <c r="J103" s="12" t="s">
        <v>452</v>
      </c>
      <c r="K103" s="12"/>
      <c r="L103" s="15" t="s">
        <v>10</v>
      </c>
      <c r="M103" s="16"/>
      <c r="N103" s="17" t="str">
        <f aca="false">IF(M103="","",M103+4)</f>
        <v/>
      </c>
      <c r="O103" s="15"/>
      <c r="P103" s="18" t="str">
        <f aca="false">SUBSTITUTE(SUBSTITUTE(IF(I103="A",Μηνύματα!$B$7,Μηνύματα!$B$8),"{ΚΑΤΑΣΤΗΜΑ}",B103),"{ΟΝΟΜΑ}",Μηνύματα!$B$4)</f>
        <v>Γεια σας! 👋 Είμαι ο/η [Το όνομά σου] από την Anbit (anbit.gr). Είδαμε το Blysscafe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4" customFormat="false" ht="90.25" hidden="false" customHeight="false" outlineLevel="0" collapsed="false">
      <c r="A104" s="12" t="n">
        <v>100</v>
      </c>
      <c r="B104" s="12" t="s">
        <v>453</v>
      </c>
      <c r="C104" s="12" t="s">
        <v>454</v>
      </c>
      <c r="D104" s="13" t="s">
        <v>45</v>
      </c>
      <c r="E104" s="13" t="s">
        <v>46</v>
      </c>
      <c r="F104" s="12" t="s">
        <v>7</v>
      </c>
      <c r="G104" s="12" t="s">
        <v>455</v>
      </c>
      <c r="H104" s="12" t="s">
        <v>127</v>
      </c>
      <c r="I104" s="14" t="s">
        <v>5</v>
      </c>
      <c r="J104" s="12" t="s">
        <v>456</v>
      </c>
      <c r="K104" s="12"/>
      <c r="L104" s="15" t="s">
        <v>10</v>
      </c>
      <c r="M104" s="16"/>
      <c r="N104" s="17" t="str">
        <f aca="false">IF(M104="","",M104+4)</f>
        <v/>
      </c>
      <c r="O104" s="15"/>
      <c r="P104" s="18" t="str">
        <f aca="false">SUBSTITUTE(SUBSTITUTE(IF(I104="A",Μηνύματα!$B$7,Μηνύματα!$B$8),"{ΚΑΤΑΣΤΗΜΑ}",B104),"{ΟΝΟΜΑ}",Μηνύματα!$B$4)</f>
        <v>Γεια σας! 👋 Είμαι ο/η [Το όνομά σου] από την Anbit (anbit.gr). Είδαμε το Bourbon Specialty Coffees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5" customFormat="false" ht="90.25" hidden="false" customHeight="false" outlineLevel="0" collapsed="false">
      <c r="A105" s="12" t="n">
        <v>101</v>
      </c>
      <c r="B105" s="12" t="s">
        <v>457</v>
      </c>
      <c r="C105" s="12" t="s">
        <v>458</v>
      </c>
      <c r="D105" s="13" t="s">
        <v>45</v>
      </c>
      <c r="E105" s="13" t="s">
        <v>46</v>
      </c>
      <c r="F105" s="12" t="s">
        <v>7</v>
      </c>
      <c r="G105" s="12" t="s">
        <v>347</v>
      </c>
      <c r="H105" s="12" t="s">
        <v>66</v>
      </c>
      <c r="I105" s="14" t="s">
        <v>5</v>
      </c>
      <c r="J105" s="12" t="s">
        <v>459</v>
      </c>
      <c r="K105" s="12"/>
      <c r="L105" s="15" t="s">
        <v>10</v>
      </c>
      <c r="M105" s="16"/>
      <c r="N105" s="17" t="str">
        <f aca="false">IF(M105="","",M105+4)</f>
        <v/>
      </c>
      <c r="O105" s="15"/>
      <c r="P105" s="18" t="str">
        <f aca="false">SUBSTITUTE(SUBSTITUTE(IF(I105="A",Μηνύματα!$B$7,Μηνύματα!$B$8),"{ΚΑΤΑΣΤΗΜΑ}",B105),"{ΟΝΟΜΑ}",Μηνύματα!$B$4)</f>
        <v>Γεια σας! 👋 Είμαι ο/η [Το όνομά σου] από την Anbit (anbit.gr). Είδαμε το Cultivos Coffee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6" customFormat="false" ht="90.25" hidden="false" customHeight="false" outlineLevel="0" collapsed="false">
      <c r="A106" s="12" t="n">
        <v>102</v>
      </c>
      <c r="B106" s="12" t="s">
        <v>460</v>
      </c>
      <c r="C106" s="12" t="s">
        <v>461</v>
      </c>
      <c r="D106" s="13" t="s">
        <v>45</v>
      </c>
      <c r="E106" s="13" t="s">
        <v>46</v>
      </c>
      <c r="F106" s="12" t="s">
        <v>7</v>
      </c>
      <c r="G106" s="12" t="s">
        <v>451</v>
      </c>
      <c r="H106" s="12" t="s">
        <v>66</v>
      </c>
      <c r="I106" s="14" t="s">
        <v>5</v>
      </c>
      <c r="J106" s="12" t="s">
        <v>462</v>
      </c>
      <c r="K106" s="12"/>
      <c r="L106" s="15" t="s">
        <v>10</v>
      </c>
      <c r="M106" s="16"/>
      <c r="N106" s="17" t="str">
        <f aca="false">IF(M106="","",M106+4)</f>
        <v/>
      </c>
      <c r="O106" s="15"/>
      <c r="P106" s="18" t="str">
        <f aca="false">SUBSTITUTE(SUBSTITUTE(IF(I106="A",Μηνύματα!$B$7,Μηνύματα!$B$8),"{ΚΑΤΑΣΤΗΜΑ}",B106),"{ΟΝΟΜΑ}",Μηνύματα!$B$4)</f>
        <v>Γεια σας! 👋 Είμαι ο/η [Το όνομά σου] από την Anbit (anbit.gr). Είδαμε το Cultivos Coffee Kallithea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7" customFormat="false" ht="90.25" hidden="false" customHeight="false" outlineLevel="0" collapsed="false">
      <c r="A107" s="12" t="n">
        <v>103</v>
      </c>
      <c r="B107" s="12" t="s">
        <v>463</v>
      </c>
      <c r="C107" s="12" t="s">
        <v>464</v>
      </c>
      <c r="D107" s="13" t="s">
        <v>45</v>
      </c>
      <c r="E107" s="13" t="s">
        <v>46</v>
      </c>
      <c r="F107" s="12" t="s">
        <v>7</v>
      </c>
      <c r="G107" s="12" t="s">
        <v>393</v>
      </c>
      <c r="H107" s="12" t="s">
        <v>127</v>
      </c>
      <c r="I107" s="14" t="s">
        <v>5</v>
      </c>
      <c r="J107" s="12" t="s">
        <v>465</v>
      </c>
      <c r="K107" s="12"/>
      <c r="L107" s="15" t="s">
        <v>10</v>
      </c>
      <c r="M107" s="16"/>
      <c r="N107" s="17" t="str">
        <f aca="false">IF(M107="","",M107+4)</f>
        <v/>
      </c>
      <c r="O107" s="15"/>
      <c r="P107" s="18" t="str">
        <f aca="false">SUBSTITUTE(SUBSTITUTE(IF(I107="A",Μηνύματα!$B$7,Μηνύματα!$B$8),"{ΚΑΤΑΣΤΗΜΑ}",B107),"{ΟΝΟΜΑ}",Μηνύματα!$B$4)</f>
        <v>Γεια σας! 👋 Είμαι ο/η [Το όνομά σου] από την Anbit (anbit.gr). Είδαμε το IL TOTO Μεταξουργείο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8" customFormat="false" ht="90.25" hidden="false" customHeight="false" outlineLevel="0" collapsed="false">
      <c r="A108" s="12" t="n">
        <v>104</v>
      </c>
      <c r="B108" s="12" t="s">
        <v>466</v>
      </c>
      <c r="C108" s="12" t="s">
        <v>467</v>
      </c>
      <c r="D108" s="13" t="s">
        <v>45</v>
      </c>
      <c r="E108" s="13" t="s">
        <v>46</v>
      </c>
      <c r="F108" s="12" t="s">
        <v>7</v>
      </c>
      <c r="G108" s="12" t="s">
        <v>468</v>
      </c>
      <c r="H108" s="12" t="s">
        <v>127</v>
      </c>
      <c r="I108" s="14" t="s">
        <v>5</v>
      </c>
      <c r="J108" s="12" t="s">
        <v>469</v>
      </c>
      <c r="K108" s="12"/>
      <c r="L108" s="15" t="s">
        <v>10</v>
      </c>
      <c r="M108" s="16"/>
      <c r="N108" s="17" t="str">
        <f aca="false">IF(M108="","",M108+4)</f>
        <v/>
      </c>
      <c r="O108" s="15"/>
      <c r="P108" s="18" t="str">
        <f aca="false">SUBSTITUTE(SUBSTITUTE(IF(I108="A",Μηνύματα!$B$7,Μηνύματα!$B$8),"{ΚΑΤΑΣΤΗΜΑ}",B108),"{ΟΝΟΜΑ}",Μηνύματα!$B$4)</f>
        <v>Γεια σας! 👋 Είμαι ο/η [Το όνομά σου] από την Anbit (anbit.gr). Είδαμε το IL TOTO Περιστέρι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09" customFormat="false" ht="90.25" hidden="false" customHeight="false" outlineLevel="0" collapsed="false">
      <c r="A109" s="12" t="n">
        <v>105</v>
      </c>
      <c r="B109" s="12" t="s">
        <v>470</v>
      </c>
      <c r="C109" s="12" t="s">
        <v>471</v>
      </c>
      <c r="D109" s="13" t="s">
        <v>45</v>
      </c>
      <c r="E109" s="13" t="s">
        <v>46</v>
      </c>
      <c r="F109" s="12" t="s">
        <v>7</v>
      </c>
      <c r="G109" s="12" t="s">
        <v>126</v>
      </c>
      <c r="H109" s="12" t="s">
        <v>447</v>
      </c>
      <c r="I109" s="14" t="s">
        <v>5</v>
      </c>
      <c r="J109" s="12" t="s">
        <v>472</v>
      </c>
      <c r="K109" s="12"/>
      <c r="L109" s="15" t="s">
        <v>10</v>
      </c>
      <c r="M109" s="16"/>
      <c r="N109" s="17" t="str">
        <f aca="false">IF(M109="","",M109+4)</f>
        <v/>
      </c>
      <c r="O109" s="15"/>
      <c r="P109" s="18" t="str">
        <f aca="false">SUBSTITUTE(SUBSTITUTE(IF(I109="A",Μηνύματα!$B$7,Μηνύματα!$B$8),"{ΚΑΤΑΣΤΗΜΑ}",B109),"{ΟΝΟΜΑ}",Μηνύματα!$B$4)</f>
        <v>Γεια σας! 👋 Είμαι ο/η [Το όνομά σου] από την Anbit (anbit.gr). Είδαμε το KAPU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10" customFormat="false" ht="90.25" hidden="false" customHeight="false" outlineLevel="0" collapsed="false">
      <c r="A110" s="12" t="n">
        <v>106</v>
      </c>
      <c r="B110" s="12" t="s">
        <v>473</v>
      </c>
      <c r="C110" s="12" t="s">
        <v>474</v>
      </c>
      <c r="D110" s="13" t="s">
        <v>45</v>
      </c>
      <c r="E110" s="13" t="s">
        <v>46</v>
      </c>
      <c r="F110" s="12" t="s">
        <v>7</v>
      </c>
      <c r="G110" s="12" t="s">
        <v>475</v>
      </c>
      <c r="H110" s="12" t="s">
        <v>447</v>
      </c>
      <c r="I110" s="14" t="s">
        <v>5</v>
      </c>
      <c r="J110" s="12" t="s">
        <v>476</v>
      </c>
      <c r="K110" s="12"/>
      <c r="L110" s="15" t="s">
        <v>10</v>
      </c>
      <c r="M110" s="16"/>
      <c r="N110" s="17" t="str">
        <f aca="false">IF(M110="","",M110+4)</f>
        <v/>
      </c>
      <c r="O110" s="15"/>
      <c r="P110" s="18" t="str">
        <f aca="false">SUBSTITUTE(SUBSTITUTE(IF(I110="A",Μηνύματα!$B$7,Μηνύματα!$B$8),"{ΚΑΤΑΣΤΗΜΑ}",B110),"{ΟΝΟΜΑ}",Μηνύματα!$B$4)</f>
        <v>Γεια σας! 👋 Είμαι ο/η [Το όνομά σου] από την Anbit (anbit.gr). Είδαμε το Overdose Coffee &amp; More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11" customFormat="false" ht="141" hidden="false" customHeight="false" outlineLevel="0" collapsed="false">
      <c r="A111" s="12" t="n">
        <v>107</v>
      </c>
      <c r="B111" s="12" t="s">
        <v>477</v>
      </c>
      <c r="C111" s="12" t="s">
        <v>478</v>
      </c>
      <c r="D111" s="13" t="s">
        <v>45</v>
      </c>
      <c r="E111" s="13" t="s">
        <v>46</v>
      </c>
      <c r="F111" s="12" t="s">
        <v>8</v>
      </c>
      <c r="G111" s="12" t="s">
        <v>479</v>
      </c>
      <c r="H111" s="12" t="s">
        <v>237</v>
      </c>
      <c r="I111" s="14" t="s">
        <v>3</v>
      </c>
      <c r="J111" s="12" t="s">
        <v>344</v>
      </c>
      <c r="K111" s="12"/>
      <c r="L111" s="15" t="s">
        <v>10</v>
      </c>
      <c r="M111" s="16"/>
      <c r="N111" s="17" t="str">
        <f aca="false">IF(M111="","",M111+4)</f>
        <v/>
      </c>
      <c r="O111" s="15"/>
      <c r="P111" s="18" t="str">
        <f aca="false">SUBSTITUTE(SUBSTITUTE(IF(I111="A",Μηνύματα!$B$7,Μηνύματα!$B$8),"{ΚΑΤΑΣΤΗΜΑ}",B111),"{ΟΝΟΜΑ}",Μηνύματα!$B$4)</f>
        <v>Γεια σας! 👋 Είμαι ο/η [Το όνομά σου] από την Anbit (anbit.gr). Μας άρεσε πολύ το 9 Market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2" customFormat="false" ht="141" hidden="false" customHeight="false" outlineLevel="0" collapsed="false">
      <c r="A112" s="12" t="n">
        <v>108</v>
      </c>
      <c r="B112" s="12" t="s">
        <v>480</v>
      </c>
      <c r="C112" s="12" t="s">
        <v>481</v>
      </c>
      <c r="D112" s="13" t="s">
        <v>45</v>
      </c>
      <c r="E112" s="13" t="s">
        <v>46</v>
      </c>
      <c r="F112" s="12" t="s">
        <v>8</v>
      </c>
      <c r="G112" s="12" t="s">
        <v>482</v>
      </c>
      <c r="H112" s="12" t="s">
        <v>104</v>
      </c>
      <c r="I112" s="14" t="s">
        <v>3</v>
      </c>
      <c r="J112" s="12" t="s">
        <v>483</v>
      </c>
      <c r="K112" s="12"/>
      <c r="L112" s="15" t="s">
        <v>10</v>
      </c>
      <c r="M112" s="16"/>
      <c r="N112" s="17" t="str">
        <f aca="false">IF(M112="","",M112+4)</f>
        <v/>
      </c>
      <c r="O112" s="15"/>
      <c r="P112" s="18" t="str">
        <f aca="false">SUBSTITUTE(SUBSTITUTE(IF(I112="A",Μηνύματα!$B$7,Μηνύματα!$B$8),"{ΚΑΤΑΣΤΗΜΑ}",B112),"{ΟΝΟΜΑ}",Μηνύματα!$B$4)</f>
        <v>Γεια σας! 👋 Είμαι ο/η [Το όνομά σου] από την Anbit (anbit.gr). Μας άρεσε πολύ το ALANA Coffee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3" customFormat="false" ht="141" hidden="false" customHeight="false" outlineLevel="0" collapsed="false">
      <c r="A113" s="12" t="n">
        <v>109</v>
      </c>
      <c r="B113" s="12" t="s">
        <v>484</v>
      </c>
      <c r="C113" s="12" t="s">
        <v>485</v>
      </c>
      <c r="D113" s="13" t="s">
        <v>45</v>
      </c>
      <c r="E113" s="13" t="s">
        <v>46</v>
      </c>
      <c r="F113" s="12" t="s">
        <v>8</v>
      </c>
      <c r="G113" s="12"/>
      <c r="H113" s="12" t="s">
        <v>486</v>
      </c>
      <c r="I113" s="14" t="s">
        <v>3</v>
      </c>
      <c r="J113" s="12" t="s">
        <v>487</v>
      </c>
      <c r="K113" s="19" t="s">
        <v>105</v>
      </c>
      <c r="L113" s="15" t="s">
        <v>10</v>
      </c>
      <c r="M113" s="16"/>
      <c r="N113" s="17" t="str">
        <f aca="false">IF(M113="","",M113+4)</f>
        <v/>
      </c>
      <c r="O113" s="15"/>
      <c r="P113" s="18" t="str">
        <f aca="false">SUBSTITUTE(SUBSTITUTE(IF(I113="A",Μηνύματα!$B$7,Μηνύματα!$B$8),"{ΚΑΤΑΣΤΗΜΑ}",B113),"{ΟΝΟΜΑ}",Μηνύματα!$B$4)</f>
        <v>Γεια σας! 👋 Είμαι ο/η [Το όνομά σου] από την Anbit (anbit.gr). Μας άρεσε πολύ το Allegro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4" customFormat="false" ht="141" hidden="false" customHeight="false" outlineLevel="0" collapsed="false">
      <c r="A114" s="12" t="n">
        <v>110</v>
      </c>
      <c r="B114" s="12" t="s">
        <v>488</v>
      </c>
      <c r="C114" s="12" t="s">
        <v>489</v>
      </c>
      <c r="D114" s="13" t="s">
        <v>45</v>
      </c>
      <c r="E114" s="13" t="s">
        <v>46</v>
      </c>
      <c r="F114" s="12" t="s">
        <v>8</v>
      </c>
      <c r="G114" s="12" t="s">
        <v>490</v>
      </c>
      <c r="H114" s="12" t="s">
        <v>491</v>
      </c>
      <c r="I114" s="14" t="s">
        <v>3</v>
      </c>
      <c r="J114" s="12" t="s">
        <v>492</v>
      </c>
      <c r="K114" s="12"/>
      <c r="L114" s="15" t="s">
        <v>10</v>
      </c>
      <c r="M114" s="16"/>
      <c r="N114" s="17" t="str">
        <f aca="false">IF(M114="","",M114+4)</f>
        <v/>
      </c>
      <c r="O114" s="15"/>
      <c r="P114" s="18" t="str">
        <f aca="false">SUBSTITUTE(SUBSTITUTE(IF(I114="A",Μηνύματα!$B$7,Μηνύματα!$B$8),"{ΚΑΤΑΣΤΗΜΑ}",B114),"{ΟΝΟΜΑ}",Μηνύματα!$B$4)</f>
        <v>Γεια σας! 👋 Είμαι ο/η [Το όνομά σου] από την Anbit (anbit.gr). Μας άρεσε πολύ το Anatolikon Gastrobar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5" customFormat="false" ht="141" hidden="false" customHeight="false" outlineLevel="0" collapsed="false">
      <c r="A115" s="12" t="n">
        <v>111</v>
      </c>
      <c r="B115" s="12" t="s">
        <v>493</v>
      </c>
      <c r="C115" s="12" t="s">
        <v>494</v>
      </c>
      <c r="D115" s="13" t="s">
        <v>45</v>
      </c>
      <c r="E115" s="13" t="s">
        <v>46</v>
      </c>
      <c r="F115" s="12" t="s">
        <v>8</v>
      </c>
      <c r="G115" s="12" t="s">
        <v>56</v>
      </c>
      <c r="H115" s="12" t="s">
        <v>495</v>
      </c>
      <c r="I115" s="14" t="s">
        <v>3</v>
      </c>
      <c r="J115" s="12" t="s">
        <v>496</v>
      </c>
      <c r="K115" s="12"/>
      <c r="L115" s="15" t="s">
        <v>10</v>
      </c>
      <c r="M115" s="16"/>
      <c r="N115" s="17" t="str">
        <f aca="false">IF(M115="","",M115+4)</f>
        <v/>
      </c>
      <c r="O115" s="15"/>
      <c r="P115" s="18" t="str">
        <f aca="false">SUBSTITUTE(SUBSTITUTE(IF(I115="A",Μηνύματα!$B$7,Μηνύματα!$B$8),"{ΚΑΤΑΣΤΗΜΑ}",B115),"{ΟΝΟΜΑ}",Μηνύματα!$B$4)</f>
        <v>Γεια σας! 👋 Είμαι ο/η [Το όνομά σου] από την Anbit (anbit.gr). Μας άρεσε πολύ το Blé Taste Gallery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6" customFormat="false" ht="141" hidden="false" customHeight="false" outlineLevel="0" collapsed="false">
      <c r="A116" s="12" t="n">
        <v>112</v>
      </c>
      <c r="B116" s="12" t="s">
        <v>497</v>
      </c>
      <c r="C116" s="12" t="s">
        <v>498</v>
      </c>
      <c r="D116" s="13" t="s">
        <v>45</v>
      </c>
      <c r="E116" s="13" t="s">
        <v>46</v>
      </c>
      <c r="F116" s="12" t="s">
        <v>8</v>
      </c>
      <c r="G116" s="12" t="s">
        <v>499</v>
      </c>
      <c r="H116" s="12" t="s">
        <v>500</v>
      </c>
      <c r="I116" s="14" t="s">
        <v>3</v>
      </c>
      <c r="J116" s="12"/>
      <c r="K116" s="12"/>
      <c r="L116" s="15" t="s">
        <v>10</v>
      </c>
      <c r="M116" s="16"/>
      <c r="N116" s="17" t="str">
        <f aca="false">IF(M116="","",M116+4)</f>
        <v/>
      </c>
      <c r="O116" s="15"/>
      <c r="P116" s="18" t="str">
        <f aca="false">SUBSTITUTE(SUBSTITUTE(IF(I116="A",Μηνύματα!$B$7,Μηνύματα!$B$8),"{ΚΑΤΑΣΤΗΜΑ}",B116),"{ΟΝΟΜΑ}",Μηνύματα!$B$4)</f>
        <v>Γεια σας! 👋 Είμαι ο/η [Το όνομά σου] από την Anbit (anbit.gr). Μας άρεσε πολύ το Boston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7" customFormat="false" ht="141" hidden="false" customHeight="false" outlineLevel="0" collapsed="false">
      <c r="A117" s="12" t="n">
        <v>113</v>
      </c>
      <c r="B117" s="12" t="s">
        <v>501</v>
      </c>
      <c r="C117" s="12" t="s">
        <v>502</v>
      </c>
      <c r="D117" s="13" t="s">
        <v>45</v>
      </c>
      <c r="E117" s="13" t="s">
        <v>46</v>
      </c>
      <c r="F117" s="12" t="s">
        <v>8</v>
      </c>
      <c r="G117" s="12"/>
      <c r="H117" s="12" t="s">
        <v>83</v>
      </c>
      <c r="I117" s="14" t="s">
        <v>3</v>
      </c>
      <c r="J117" s="12" t="s">
        <v>503</v>
      </c>
      <c r="K117" s="19" t="s">
        <v>105</v>
      </c>
      <c r="L117" s="15" t="s">
        <v>10</v>
      </c>
      <c r="M117" s="16"/>
      <c r="N117" s="17" t="str">
        <f aca="false">IF(M117="","",M117+4)</f>
        <v/>
      </c>
      <c r="O117" s="15"/>
      <c r="P117" s="18" t="str">
        <f aca="false">SUBSTITUTE(SUBSTITUTE(IF(I117="A",Μηνύματα!$B$7,Μηνύματα!$B$8),"{ΚΑΤΑΣΤΗΜΑ}",B117),"{ΟΝΟΜΑ}",Μηνύματα!$B$4)</f>
        <v>Γεια σας! 👋 Είμαι ο/η [Το όνομά σου] από την Anbit (anbit.gr). Μας άρεσε πολύ το Bowie House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8" customFormat="false" ht="141" hidden="false" customHeight="false" outlineLevel="0" collapsed="false">
      <c r="A118" s="12" t="n">
        <v>114</v>
      </c>
      <c r="B118" s="12" t="s">
        <v>504</v>
      </c>
      <c r="C118" s="12" t="s">
        <v>505</v>
      </c>
      <c r="D118" s="13" t="s">
        <v>45</v>
      </c>
      <c r="E118" s="13" t="s">
        <v>46</v>
      </c>
      <c r="F118" s="12" t="s">
        <v>8</v>
      </c>
      <c r="G118" s="12" t="s">
        <v>506</v>
      </c>
      <c r="H118" s="12" t="s">
        <v>507</v>
      </c>
      <c r="I118" s="14" t="s">
        <v>3</v>
      </c>
      <c r="J118" s="12" t="s">
        <v>508</v>
      </c>
      <c r="K118" s="12"/>
      <c r="L118" s="15" t="s">
        <v>10</v>
      </c>
      <c r="M118" s="16"/>
      <c r="N118" s="17" t="str">
        <f aca="false">IF(M118="","",M118+4)</f>
        <v/>
      </c>
      <c r="O118" s="15"/>
      <c r="P118" s="18" t="str">
        <f aca="false">SUBSTITUTE(SUBSTITUTE(IF(I118="A",Μηνύματα!$B$7,Μηνύματα!$B$8),"{ΚΑΤΑΣΤΗΜΑ}",B118),"{ΟΝΟΜΑ}",Μηνύματα!$B$4)</f>
        <v>Γεια σας! 👋 Είμαι ο/η [Το όνομά σου] από την Anbit (anbit.gr). Μας άρεσε πολύ το Brew ΛόΚΑΛ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19" customFormat="false" ht="141" hidden="false" customHeight="false" outlineLevel="0" collapsed="false">
      <c r="A119" s="12" t="n">
        <v>115</v>
      </c>
      <c r="B119" s="12" t="s">
        <v>509</v>
      </c>
      <c r="C119" s="12" t="s">
        <v>510</v>
      </c>
      <c r="D119" s="13" t="s">
        <v>45</v>
      </c>
      <c r="E119" s="13" t="s">
        <v>46</v>
      </c>
      <c r="F119" s="12" t="s">
        <v>8</v>
      </c>
      <c r="G119" s="12" t="s">
        <v>56</v>
      </c>
      <c r="H119" s="12" t="s">
        <v>511</v>
      </c>
      <c r="I119" s="14" t="s">
        <v>3</v>
      </c>
      <c r="J119" s="12" t="s">
        <v>512</v>
      </c>
      <c r="K119" s="12"/>
      <c r="L119" s="15" t="s">
        <v>10</v>
      </c>
      <c r="M119" s="16"/>
      <c r="N119" s="17" t="str">
        <f aca="false">IF(M119="","",M119+4)</f>
        <v/>
      </c>
      <c r="O119" s="15"/>
      <c r="P119" s="18" t="str">
        <f aca="false">SUBSTITUTE(SUBSTITUTE(IF(I119="A",Μηνύματα!$B$7,Μηνύματα!$B$8),"{ΚΑΤΑΣΤΗΜΑ}",B119),"{ΟΝΟΜΑ}",Μηνύματα!$B$4)</f>
        <v>Γεια σας! 👋 Είμαι ο/η [Το όνομά σου] από την Anbit (anbit.gr). Μας άρεσε πολύ το Brunchsin'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0" customFormat="false" ht="141" hidden="false" customHeight="false" outlineLevel="0" collapsed="false">
      <c r="A120" s="12" t="n">
        <v>116</v>
      </c>
      <c r="B120" s="12" t="s">
        <v>513</v>
      </c>
      <c r="C120" s="12" t="s">
        <v>514</v>
      </c>
      <c r="D120" s="13" t="s">
        <v>45</v>
      </c>
      <c r="E120" s="13" t="s">
        <v>46</v>
      </c>
      <c r="F120" s="12" t="s">
        <v>8</v>
      </c>
      <c r="G120" s="12" t="s">
        <v>515</v>
      </c>
      <c r="H120" s="12" t="s">
        <v>516</v>
      </c>
      <c r="I120" s="14" t="s">
        <v>3</v>
      </c>
      <c r="J120" s="12" t="s">
        <v>517</v>
      </c>
      <c r="K120" s="12"/>
      <c r="L120" s="15" t="s">
        <v>10</v>
      </c>
      <c r="M120" s="16"/>
      <c r="N120" s="17" t="str">
        <f aca="false">IF(M120="","",M120+4)</f>
        <v/>
      </c>
      <c r="O120" s="15"/>
      <c r="P120" s="18" t="str">
        <f aca="false">SUBSTITUTE(SUBSTITUTE(IF(I120="A",Μηνύματα!$B$7,Μηνύματα!$B$8),"{ΚΑΤΑΣΤΗΜΑ}",B120),"{ΟΝΟΜΑ}",Μηνύματα!$B$4)</f>
        <v>Γεια σας! 👋 Είμαι ο/η [Το όνομά σου] από την Anbit (anbit.gr). Μας άρεσε πολύ το Cafe Floral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1" customFormat="false" ht="141" hidden="false" customHeight="false" outlineLevel="0" collapsed="false">
      <c r="A121" s="12" t="n">
        <v>117</v>
      </c>
      <c r="B121" s="12" t="s">
        <v>518</v>
      </c>
      <c r="C121" s="12" t="s">
        <v>519</v>
      </c>
      <c r="D121" s="13" t="s">
        <v>45</v>
      </c>
      <c r="E121" s="13" t="s">
        <v>46</v>
      </c>
      <c r="F121" s="12" t="s">
        <v>8</v>
      </c>
      <c r="G121" s="12"/>
      <c r="H121" s="12" t="s">
        <v>237</v>
      </c>
      <c r="I121" s="14" t="s">
        <v>3</v>
      </c>
      <c r="J121" s="12" t="s">
        <v>520</v>
      </c>
      <c r="K121" s="12"/>
      <c r="L121" s="15" t="s">
        <v>10</v>
      </c>
      <c r="M121" s="16"/>
      <c r="N121" s="17" t="str">
        <f aca="false">IF(M121="","",M121+4)</f>
        <v/>
      </c>
      <c r="O121" s="15"/>
      <c r="P121" s="18" t="str">
        <f aca="false">SUBSTITUTE(SUBSTITUTE(IF(I121="A",Μηνύματα!$B$7,Μηνύματα!$B$8),"{ΚΑΤΑΣΤΗΜΑ}",B121),"{ΟΝΟΜΑ}",Μηνύματα!$B$4)</f>
        <v>Γεια σας! 👋 Είμαι ο/η [Το όνομά σου] από την Anbit (anbit.gr). Μας άρεσε πολύ το Cafe-Bazaar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2" customFormat="false" ht="141" hidden="false" customHeight="false" outlineLevel="0" collapsed="false">
      <c r="A122" s="12" t="n">
        <v>118</v>
      </c>
      <c r="B122" s="12" t="s">
        <v>521</v>
      </c>
      <c r="C122" s="12" t="s">
        <v>522</v>
      </c>
      <c r="D122" s="13" t="s">
        <v>45</v>
      </c>
      <c r="E122" s="13" t="s">
        <v>46</v>
      </c>
      <c r="F122" s="12" t="s">
        <v>8</v>
      </c>
      <c r="G122" s="12" t="s">
        <v>490</v>
      </c>
      <c r="H122" s="12" t="s">
        <v>523</v>
      </c>
      <c r="I122" s="14" t="s">
        <v>3</v>
      </c>
      <c r="J122" s="12" t="s">
        <v>524</v>
      </c>
      <c r="K122" s="12"/>
      <c r="L122" s="15" t="s">
        <v>10</v>
      </c>
      <c r="M122" s="16"/>
      <c r="N122" s="17" t="str">
        <f aca="false">IF(M122="","",M122+4)</f>
        <v/>
      </c>
      <c r="O122" s="15"/>
      <c r="P122" s="18" t="str">
        <f aca="false">SUBSTITUTE(SUBSTITUTE(IF(I122="A",Μηνύματα!$B$7,Μηνύματα!$B$8),"{ΚΑΤΑΣΤΗΜΑ}",B122),"{ΟΝΟΜΑ}",Μηνύματα!$B$4)</f>
        <v>Γεια σας! 👋 Είμαι ο/η [Το όνομά σου] από την Anbit (anbit.gr). Μας άρεσε πολύ το Café Société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3" customFormat="false" ht="141" hidden="false" customHeight="false" outlineLevel="0" collapsed="false">
      <c r="A123" s="12" t="n">
        <v>119</v>
      </c>
      <c r="B123" s="12" t="s">
        <v>525</v>
      </c>
      <c r="C123" s="12" t="s">
        <v>526</v>
      </c>
      <c r="D123" s="13" t="s">
        <v>45</v>
      </c>
      <c r="E123" s="13" t="s">
        <v>46</v>
      </c>
      <c r="F123" s="12" t="s">
        <v>8</v>
      </c>
      <c r="G123" s="12" t="s">
        <v>56</v>
      </c>
      <c r="H123" s="12" t="s">
        <v>527</v>
      </c>
      <c r="I123" s="14" t="s">
        <v>3</v>
      </c>
      <c r="J123" s="12" t="s">
        <v>528</v>
      </c>
      <c r="K123" s="12"/>
      <c r="L123" s="15" t="s">
        <v>10</v>
      </c>
      <c r="M123" s="16"/>
      <c r="N123" s="17" t="str">
        <f aca="false">IF(M123="","",M123+4)</f>
        <v/>
      </c>
      <c r="O123" s="15"/>
      <c r="P123" s="18" t="str">
        <f aca="false">SUBSTITUTE(SUBSTITUTE(IF(I123="A",Μηνύματα!$B$7,Μηνύματα!$B$8),"{ΚΑΤΑΣΤΗΜΑ}",B123),"{ΟΝΟΜΑ}",Μηνύματα!$B$4)</f>
        <v>Γεια σας! 👋 Είμαι ο/η [Το όνομά σου] από την Anbit (anbit.gr). Μας άρεσε πολύ το Coffice – Books &amp; Coffee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4" customFormat="false" ht="141" hidden="false" customHeight="false" outlineLevel="0" collapsed="false">
      <c r="A124" s="12" t="n">
        <v>120</v>
      </c>
      <c r="B124" s="12" t="s">
        <v>529</v>
      </c>
      <c r="C124" s="12" t="s">
        <v>530</v>
      </c>
      <c r="D124" s="13" t="s">
        <v>45</v>
      </c>
      <c r="E124" s="13" t="s">
        <v>46</v>
      </c>
      <c r="F124" s="12" t="s">
        <v>8</v>
      </c>
      <c r="G124" s="12" t="s">
        <v>531</v>
      </c>
      <c r="H124" s="12" t="s">
        <v>237</v>
      </c>
      <c r="I124" s="14" t="s">
        <v>3</v>
      </c>
      <c r="J124" s="12" t="s">
        <v>532</v>
      </c>
      <c r="K124" s="12"/>
      <c r="L124" s="15" t="s">
        <v>10</v>
      </c>
      <c r="M124" s="16"/>
      <c r="N124" s="17" t="str">
        <f aca="false">IF(M124="","",M124+4)</f>
        <v/>
      </c>
      <c r="O124" s="15"/>
      <c r="P124" s="18" t="str">
        <f aca="false">SUBSTITUTE(SUBSTITUTE(IF(I124="A",Μηνύματα!$B$7,Μηνύματα!$B$8),"{ΚΑΤΑΣΤΗΜΑ}",B124),"{ΟΝΟΜΑ}",Μηνύματα!$B$4)</f>
        <v>Γεια σας! 👋 Είμαι ο/η [Το όνομά σου] από την Anbit (anbit.gr). Μας άρεσε πολύ το Cube Coffee &amp; More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5" customFormat="false" ht="141" hidden="false" customHeight="false" outlineLevel="0" collapsed="false">
      <c r="A125" s="12" t="n">
        <v>121</v>
      </c>
      <c r="B125" s="12" t="s">
        <v>533</v>
      </c>
      <c r="C125" s="12" t="s">
        <v>534</v>
      </c>
      <c r="D125" s="13" t="s">
        <v>45</v>
      </c>
      <c r="E125" s="13" t="s">
        <v>46</v>
      </c>
      <c r="F125" s="12" t="s">
        <v>8</v>
      </c>
      <c r="G125" s="12" t="s">
        <v>535</v>
      </c>
      <c r="H125" s="12" t="s">
        <v>536</v>
      </c>
      <c r="I125" s="14" t="s">
        <v>3</v>
      </c>
      <c r="J125" s="12"/>
      <c r="K125" s="12"/>
      <c r="L125" s="15" t="s">
        <v>10</v>
      </c>
      <c r="M125" s="16"/>
      <c r="N125" s="17" t="str">
        <f aca="false">IF(M125="","",M125+4)</f>
        <v/>
      </c>
      <c r="O125" s="15"/>
      <c r="P125" s="18" t="str">
        <f aca="false">SUBSTITUTE(SUBSTITUTE(IF(I125="A",Μηνύματα!$B$7,Μηνύματα!$B$8),"{ΚΑΤΑΣΤΗΜΑ}",B125),"{ΟΝΟΜΑ}",Μηνύματα!$B$4)</f>
        <v>Γεια σας! 👋 Είμαι ο/η [Το όνομά σου] από την Anbit (anbit.gr). Μας άρεσε πολύ το Fluffy Brunch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6" customFormat="false" ht="141" hidden="false" customHeight="false" outlineLevel="0" collapsed="false">
      <c r="A126" s="12" t="n">
        <v>122</v>
      </c>
      <c r="B126" s="12" t="s">
        <v>537</v>
      </c>
      <c r="C126" s="12" t="s">
        <v>538</v>
      </c>
      <c r="D126" s="13" t="s">
        <v>45</v>
      </c>
      <c r="E126" s="13" t="s">
        <v>46</v>
      </c>
      <c r="F126" s="12" t="s">
        <v>8</v>
      </c>
      <c r="G126" s="12" t="s">
        <v>539</v>
      </c>
      <c r="H126" s="12" t="s">
        <v>132</v>
      </c>
      <c r="I126" s="14" t="s">
        <v>3</v>
      </c>
      <c r="J126" s="12"/>
      <c r="K126" s="12"/>
      <c r="L126" s="15" t="s">
        <v>10</v>
      </c>
      <c r="M126" s="16"/>
      <c r="N126" s="17" t="str">
        <f aca="false">IF(M126="","",M126+4)</f>
        <v/>
      </c>
      <c r="O126" s="15"/>
      <c r="P126" s="18" t="str">
        <f aca="false">SUBSTITUTE(SUBSTITUTE(IF(I126="A",Μηνύματα!$B$7,Μηνύματα!$B$8),"{ΚΑΤΑΣΤΗΜΑ}",B126),"{ΟΝΟΜΑ}",Μηνύματα!$B$4)</f>
        <v>Γεια σας! 👋 Είμαι ο/η [Το όνομά σου] από την Anbit (anbit.gr). Μας άρεσε πολύ το Garden Bar 53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7" customFormat="false" ht="141" hidden="false" customHeight="false" outlineLevel="0" collapsed="false">
      <c r="A127" s="12" t="n">
        <v>123</v>
      </c>
      <c r="B127" s="12" t="s">
        <v>540</v>
      </c>
      <c r="C127" s="12" t="s">
        <v>541</v>
      </c>
      <c r="D127" s="13" t="s">
        <v>45</v>
      </c>
      <c r="E127" s="13" t="s">
        <v>46</v>
      </c>
      <c r="F127" s="12" t="s">
        <v>8</v>
      </c>
      <c r="G127" s="12" t="s">
        <v>542</v>
      </c>
      <c r="H127" s="12" t="s">
        <v>112</v>
      </c>
      <c r="I127" s="14" t="s">
        <v>3</v>
      </c>
      <c r="J127" s="12"/>
      <c r="K127" s="12"/>
      <c r="L127" s="15" t="s">
        <v>10</v>
      </c>
      <c r="M127" s="16"/>
      <c r="N127" s="17" t="str">
        <f aca="false">IF(M127="","",M127+4)</f>
        <v/>
      </c>
      <c r="O127" s="15"/>
      <c r="P127" s="18" t="str">
        <f aca="false">SUBSTITUTE(SUBSTITUTE(IF(I127="A",Μηνύματα!$B$7,Μηνύματα!$B$8),"{ΚΑΤΑΣΤΗΜΑ}",B127),"{ΟΝΟΜΑ}",Μηνύματα!$B$4)</f>
        <v>Γεια σας! 👋 Είμαι ο/η [Το όνομά σου] από την Anbit (anbit.gr). Μας άρεσε πολύ το Kitchen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8" customFormat="false" ht="141" hidden="false" customHeight="false" outlineLevel="0" collapsed="false">
      <c r="A128" s="12" t="n">
        <v>124</v>
      </c>
      <c r="B128" s="12" t="s">
        <v>543</v>
      </c>
      <c r="C128" s="12" t="s">
        <v>544</v>
      </c>
      <c r="D128" s="13" t="s">
        <v>45</v>
      </c>
      <c r="E128" s="13" t="s">
        <v>46</v>
      </c>
      <c r="F128" s="12" t="s">
        <v>8</v>
      </c>
      <c r="G128" s="12" t="s">
        <v>56</v>
      </c>
      <c r="H128" s="12" t="s">
        <v>237</v>
      </c>
      <c r="I128" s="14" t="s">
        <v>3</v>
      </c>
      <c r="J128" s="12" t="s">
        <v>545</v>
      </c>
      <c r="K128" s="12"/>
      <c r="L128" s="15" t="s">
        <v>10</v>
      </c>
      <c r="M128" s="16"/>
      <c r="N128" s="17" t="str">
        <f aca="false">IF(M128="","",M128+4)</f>
        <v/>
      </c>
      <c r="O128" s="15"/>
      <c r="P128" s="18" t="str">
        <f aca="false">SUBSTITUTE(SUBSTITUTE(IF(I128="A",Μηνύματα!$B$7,Μηνύματα!$B$8),"{ΚΑΤΑΣΤΗΜΑ}",B128),"{ΟΝΟΜΑ}",Μηνύματα!$B$4)</f>
        <v>Γεια σας! 👋 Είμαι ο/η [Το όνομά σου] από την Anbit (anbit.gr). Μας άρεσε πολύ το L'Autre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29" customFormat="false" ht="141" hidden="false" customHeight="false" outlineLevel="0" collapsed="false">
      <c r="A129" s="12" t="n">
        <v>125</v>
      </c>
      <c r="B129" s="12" t="s">
        <v>546</v>
      </c>
      <c r="C129" s="12" t="s">
        <v>547</v>
      </c>
      <c r="D129" s="13" t="s">
        <v>45</v>
      </c>
      <c r="E129" s="13" t="s">
        <v>46</v>
      </c>
      <c r="F129" s="12" t="s">
        <v>8</v>
      </c>
      <c r="G129" s="12"/>
      <c r="H129" s="12" t="s">
        <v>548</v>
      </c>
      <c r="I129" s="14" t="s">
        <v>3</v>
      </c>
      <c r="J129" s="12" t="s">
        <v>549</v>
      </c>
      <c r="K129" s="19" t="s">
        <v>105</v>
      </c>
      <c r="L129" s="15" t="s">
        <v>10</v>
      </c>
      <c r="M129" s="16"/>
      <c r="N129" s="17" t="str">
        <f aca="false">IF(M129="","",M129+4)</f>
        <v/>
      </c>
      <c r="O129" s="15"/>
      <c r="P129" s="18" t="str">
        <f aca="false">SUBSTITUTE(SUBSTITUTE(IF(I129="A",Μηνύματα!$B$7,Μηνύματα!$B$8),"{ΚΑΤΑΣΤΗΜΑ}",B129),"{ΟΝΟΜΑ}",Μηνύματα!$B$4)</f>
        <v>Γεια σας! 👋 Είμαι ο/η [Το όνομά σου] από την Anbit (anbit.gr). Μας άρεσε πολύ το LeCoqTail Mix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0" customFormat="false" ht="141" hidden="false" customHeight="false" outlineLevel="0" collapsed="false">
      <c r="A130" s="12" t="n">
        <v>126</v>
      </c>
      <c r="B130" s="12" t="s">
        <v>550</v>
      </c>
      <c r="C130" s="12" t="s">
        <v>551</v>
      </c>
      <c r="D130" s="13" t="s">
        <v>45</v>
      </c>
      <c r="E130" s="13" t="s">
        <v>46</v>
      </c>
      <c r="F130" s="12" t="s">
        <v>8</v>
      </c>
      <c r="G130" s="12" t="s">
        <v>56</v>
      </c>
      <c r="H130" s="12" t="s">
        <v>157</v>
      </c>
      <c r="I130" s="14" t="s">
        <v>3</v>
      </c>
      <c r="J130" s="12" t="s">
        <v>552</v>
      </c>
      <c r="K130" s="12"/>
      <c r="L130" s="15" t="s">
        <v>10</v>
      </c>
      <c r="M130" s="16"/>
      <c r="N130" s="17" t="str">
        <f aca="false">IF(M130="","",M130+4)</f>
        <v/>
      </c>
      <c r="O130" s="15"/>
      <c r="P130" s="18" t="str">
        <f aca="false">SUBSTITUTE(SUBSTITUTE(IF(I130="A",Μηνύματα!$B$7,Μηνύματα!$B$8),"{ΚΑΤΑΣΤΗΜΑ}",B130),"{ΟΝΟΜΑ}",Μηνύματα!$B$4)</f>
        <v>Γεια σας! 👋 Είμαι ο/η [Το όνομά σου] από την Anbit (anbit.gr). Μας άρεσε πολύ το Local Thessaloniki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1" customFormat="false" ht="141" hidden="false" customHeight="false" outlineLevel="0" collapsed="false">
      <c r="A131" s="12" t="n">
        <v>127</v>
      </c>
      <c r="B131" s="12" t="s">
        <v>553</v>
      </c>
      <c r="C131" s="12" t="s">
        <v>554</v>
      </c>
      <c r="D131" s="13" t="s">
        <v>45</v>
      </c>
      <c r="E131" s="13" t="s">
        <v>46</v>
      </c>
      <c r="F131" s="12" t="s">
        <v>8</v>
      </c>
      <c r="G131" s="12"/>
      <c r="H131" s="12" t="s">
        <v>555</v>
      </c>
      <c r="I131" s="14" t="s">
        <v>3</v>
      </c>
      <c r="J131" s="12"/>
      <c r="K131" s="12"/>
      <c r="L131" s="15" t="s">
        <v>10</v>
      </c>
      <c r="M131" s="16"/>
      <c r="N131" s="17" t="str">
        <f aca="false">IF(M131="","",M131+4)</f>
        <v/>
      </c>
      <c r="O131" s="15"/>
      <c r="P131" s="18" t="str">
        <f aca="false">SUBSTITUTE(SUBSTITUTE(IF(I131="A",Μηνύματα!$B$7,Μηνύματα!$B$8),"{ΚΑΤΑΣΤΗΜΑ}",B131),"{ΟΝΟΜΑ}",Μηνύματα!$B$4)</f>
        <v>Γεια σας! 👋 Είμαι ο/η [Το όνομά σου] από την Anbit (anbit.gr). Μας άρεσε πολύ το Lungo Coffee &amp; Gluten Free Pastries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2" customFormat="false" ht="141" hidden="false" customHeight="false" outlineLevel="0" collapsed="false">
      <c r="A132" s="12" t="n">
        <v>128</v>
      </c>
      <c r="B132" s="12" t="s">
        <v>556</v>
      </c>
      <c r="C132" s="12" t="s">
        <v>557</v>
      </c>
      <c r="D132" s="13" t="s">
        <v>45</v>
      </c>
      <c r="E132" s="13" t="s">
        <v>46</v>
      </c>
      <c r="F132" s="12" t="s">
        <v>8</v>
      </c>
      <c r="G132" s="12" t="s">
        <v>558</v>
      </c>
      <c r="H132" s="12" t="s">
        <v>559</v>
      </c>
      <c r="I132" s="14" t="s">
        <v>3</v>
      </c>
      <c r="J132" s="12" t="s">
        <v>560</v>
      </c>
      <c r="K132" s="12"/>
      <c r="L132" s="15" t="s">
        <v>10</v>
      </c>
      <c r="M132" s="16"/>
      <c r="N132" s="17" t="str">
        <f aca="false">IF(M132="","",M132+4)</f>
        <v/>
      </c>
      <c r="O132" s="15"/>
      <c r="P132" s="18" t="str">
        <f aca="false">SUBSTITUTE(SUBSTITUTE(IF(I132="A",Μηνύματα!$B$7,Μηνύματα!$B$8),"{ΚΑΤΑΣΤΗΜΑ}",B132),"{ΟΝΟΜΑ}",Μηνύματα!$B$4)</f>
        <v>Γεια σας! 👋 Είμαι ο/η [Το όνομά σου] από την Anbit (anbit.gr). Μας άρεσε πολύ το Napoleon Brasserie •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3" customFormat="false" ht="141" hidden="false" customHeight="false" outlineLevel="0" collapsed="false">
      <c r="A133" s="12" t="n">
        <v>129</v>
      </c>
      <c r="B133" s="12" t="s">
        <v>561</v>
      </c>
      <c r="C133" s="12" t="s">
        <v>562</v>
      </c>
      <c r="D133" s="13" t="s">
        <v>45</v>
      </c>
      <c r="E133" s="13" t="s">
        <v>46</v>
      </c>
      <c r="F133" s="12" t="s">
        <v>8</v>
      </c>
      <c r="G133" s="12"/>
      <c r="H133" s="12" t="s">
        <v>563</v>
      </c>
      <c r="I133" s="14" t="s">
        <v>3</v>
      </c>
      <c r="J133" s="12"/>
      <c r="K133" s="19" t="s">
        <v>105</v>
      </c>
      <c r="L133" s="15" t="s">
        <v>10</v>
      </c>
      <c r="M133" s="16"/>
      <c r="N133" s="17" t="str">
        <f aca="false">IF(M133="","",M133+4)</f>
        <v/>
      </c>
      <c r="O133" s="15"/>
      <c r="P133" s="18" t="str">
        <f aca="false">SUBSTITUTE(SUBSTITUTE(IF(I133="A",Μηνύματα!$B$7,Μηνύματα!$B$8),"{ΚΑΤΑΣΤΗΜΑ}",B133),"{ΟΝΟΜΑ}",Μηνύματα!$B$4)</f>
        <v>Γεια σας! 👋 Είμαι ο/η [Το όνομά σου] από την Anbit (anbit.gr). Μας άρεσε πολύ το NIRO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4" customFormat="false" ht="141" hidden="false" customHeight="false" outlineLevel="0" collapsed="false">
      <c r="A134" s="12" t="n">
        <v>130</v>
      </c>
      <c r="B134" s="12" t="s">
        <v>564</v>
      </c>
      <c r="C134" s="12" t="s">
        <v>565</v>
      </c>
      <c r="D134" s="13" t="s">
        <v>45</v>
      </c>
      <c r="E134" s="13" t="s">
        <v>46</v>
      </c>
      <c r="F134" s="12" t="s">
        <v>8</v>
      </c>
      <c r="G134" s="12" t="s">
        <v>56</v>
      </c>
      <c r="H134" s="12" t="s">
        <v>566</v>
      </c>
      <c r="I134" s="14" t="s">
        <v>3</v>
      </c>
      <c r="J134" s="12" t="s">
        <v>567</v>
      </c>
      <c r="K134" s="12"/>
      <c r="L134" s="15" t="s">
        <v>10</v>
      </c>
      <c r="M134" s="16"/>
      <c r="N134" s="17" t="str">
        <f aca="false">IF(M134="","",M134+4)</f>
        <v/>
      </c>
      <c r="O134" s="15"/>
      <c r="P134" s="18" t="str">
        <f aca="false">SUBSTITUTE(SUBSTITUTE(IF(I134="A",Μηνύματα!$B$7,Μηνύματα!$B$8),"{ΚΑΤΑΣΤΗΜΑ}",B134),"{ΟΝΟΜΑ}",Μηνύματα!$B$4)</f>
        <v>Γεια σας! 👋 Είμαι ο/η [Το όνομά σου] από την Anbit (anbit.gr). Μας άρεσε πολύ το Oberon.bar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5" customFormat="false" ht="141" hidden="false" customHeight="false" outlineLevel="0" collapsed="false">
      <c r="A135" s="12" t="n">
        <v>131</v>
      </c>
      <c r="B135" s="12" t="s">
        <v>568</v>
      </c>
      <c r="C135" s="12" t="s">
        <v>569</v>
      </c>
      <c r="D135" s="13" t="s">
        <v>45</v>
      </c>
      <c r="E135" s="13" t="s">
        <v>46</v>
      </c>
      <c r="F135" s="12" t="s">
        <v>8</v>
      </c>
      <c r="G135" s="12"/>
      <c r="H135" s="12" t="s">
        <v>132</v>
      </c>
      <c r="I135" s="14" t="s">
        <v>3</v>
      </c>
      <c r="J135" s="12" t="s">
        <v>570</v>
      </c>
      <c r="K135" s="19" t="s">
        <v>105</v>
      </c>
      <c r="L135" s="15" t="s">
        <v>10</v>
      </c>
      <c r="M135" s="16"/>
      <c r="N135" s="17" t="str">
        <f aca="false">IF(M135="","",M135+4)</f>
        <v/>
      </c>
      <c r="O135" s="15"/>
      <c r="P135" s="18" t="str">
        <f aca="false">SUBSTITUTE(SUBSTITUTE(IF(I135="A",Μηνύματα!$B$7,Μηνύματα!$B$8),"{ΚΑΤΑΣΤΗΜΑ}",B135),"{ΟΝΟΜΑ}",Μηνύματα!$B$4)</f>
        <v>Γεια σας! 👋 Είμαι ο/η [Το όνομά σου] από την Anbit (anbit.gr). Μας άρεσε πολύ το Pantheon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6" customFormat="false" ht="141" hidden="false" customHeight="false" outlineLevel="0" collapsed="false">
      <c r="A136" s="12" t="n">
        <v>132</v>
      </c>
      <c r="B136" s="12" t="s">
        <v>571</v>
      </c>
      <c r="C136" s="12" t="s">
        <v>572</v>
      </c>
      <c r="D136" s="13" t="s">
        <v>45</v>
      </c>
      <c r="E136" s="13" t="s">
        <v>46</v>
      </c>
      <c r="F136" s="12" t="s">
        <v>8</v>
      </c>
      <c r="G136" s="12" t="s">
        <v>56</v>
      </c>
      <c r="H136" s="12" t="s">
        <v>573</v>
      </c>
      <c r="I136" s="14" t="s">
        <v>3</v>
      </c>
      <c r="J136" s="12"/>
      <c r="K136" s="12"/>
      <c r="L136" s="15" t="s">
        <v>10</v>
      </c>
      <c r="M136" s="16"/>
      <c r="N136" s="17" t="str">
        <f aca="false">IF(M136="","",M136+4)</f>
        <v/>
      </c>
      <c r="O136" s="15"/>
      <c r="P136" s="18" t="str">
        <f aca="false">SUBSTITUTE(SUBSTITUTE(IF(I136="A",Μηνύματα!$B$7,Μηνύματα!$B$8),"{ΚΑΤΑΣΤΗΜΑ}",B136),"{ΟΝΟΜΑ}",Μηνύματα!$B$4)</f>
        <v>Γεια σας! 👋 Είμαι ο/η [Το όνομά σου] από την Anbit (anbit.gr). Μας άρεσε πολύ το Prigipos Coffee &amp; Beer House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7" customFormat="false" ht="141" hidden="false" customHeight="false" outlineLevel="0" collapsed="false">
      <c r="A137" s="12" t="n">
        <v>133</v>
      </c>
      <c r="B137" s="12" t="s">
        <v>574</v>
      </c>
      <c r="C137" s="12" t="s">
        <v>575</v>
      </c>
      <c r="D137" s="13" t="s">
        <v>45</v>
      </c>
      <c r="E137" s="13" t="s">
        <v>46</v>
      </c>
      <c r="F137" s="12" t="s">
        <v>8</v>
      </c>
      <c r="G137" s="12" t="s">
        <v>576</v>
      </c>
      <c r="H137" s="12" t="s">
        <v>577</v>
      </c>
      <c r="I137" s="14" t="s">
        <v>3</v>
      </c>
      <c r="J137" s="12" t="s">
        <v>578</v>
      </c>
      <c r="K137" s="12"/>
      <c r="L137" s="15" t="s">
        <v>10</v>
      </c>
      <c r="M137" s="16"/>
      <c r="N137" s="17" t="str">
        <f aca="false">IF(M137="","",M137+4)</f>
        <v/>
      </c>
      <c r="O137" s="15"/>
      <c r="P137" s="18" t="str">
        <f aca="false">SUBSTITUTE(SUBSTITUTE(IF(I137="A",Μηνύματα!$B$7,Μηνύματα!$B$8),"{ΚΑΤΑΣΤΗΜΑ}",B137),"{ΟΝΟΜΑ}",Μηνύματα!$B$4)</f>
        <v>Γεια σας! 👋 Είμαι ο/η [Το όνομά σου] από την Anbit (anbit.gr). Μας άρεσε πολύ το Sebil Coffee &amp; Cocktails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8" customFormat="false" ht="141" hidden="false" customHeight="false" outlineLevel="0" collapsed="false">
      <c r="A138" s="12" t="n">
        <v>134</v>
      </c>
      <c r="B138" s="12" t="s">
        <v>579</v>
      </c>
      <c r="C138" s="12" t="s">
        <v>580</v>
      </c>
      <c r="D138" s="13" t="s">
        <v>45</v>
      </c>
      <c r="E138" s="13" t="s">
        <v>46</v>
      </c>
      <c r="F138" s="12" t="s">
        <v>8</v>
      </c>
      <c r="G138" s="12" t="s">
        <v>581</v>
      </c>
      <c r="H138" s="12" t="s">
        <v>486</v>
      </c>
      <c r="I138" s="14" t="s">
        <v>3</v>
      </c>
      <c r="J138" s="12" t="s">
        <v>297</v>
      </c>
      <c r="K138" s="12"/>
      <c r="L138" s="15" t="s">
        <v>10</v>
      </c>
      <c r="M138" s="16"/>
      <c r="N138" s="17" t="str">
        <f aca="false">IF(M138="","",M138+4)</f>
        <v/>
      </c>
      <c r="O138" s="15"/>
      <c r="P138" s="18" t="str">
        <f aca="false">SUBSTITUTE(SUBSTITUTE(IF(I138="A",Μηνύματα!$B$7,Μηνύματα!$B$8),"{ΚΑΤΑΣΤΗΜΑ}",B138),"{ΟΝΟΜΑ}",Μηνύματα!$B$4)</f>
        <v>Γεια σας! 👋 Είμαι ο/η [Το όνομά σου] από την Anbit (anbit.gr). Μας άρεσε πολύ το Shark Bar Restaurant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39" customFormat="false" ht="141.75" hidden="false" customHeight="false" outlineLevel="0" collapsed="false">
      <c r="A139" s="12" t="n">
        <v>135</v>
      </c>
      <c r="B139" s="12" t="s">
        <v>582</v>
      </c>
      <c r="C139" s="12" t="s">
        <v>583</v>
      </c>
      <c r="D139" s="13" t="s">
        <v>45</v>
      </c>
      <c r="E139" s="13" t="s">
        <v>46</v>
      </c>
      <c r="F139" s="12" t="s">
        <v>8</v>
      </c>
      <c r="G139" s="12" t="s">
        <v>56</v>
      </c>
      <c r="H139" s="12" t="s">
        <v>127</v>
      </c>
      <c r="I139" s="14" t="s">
        <v>3</v>
      </c>
      <c r="J139" s="12" t="s">
        <v>584</v>
      </c>
      <c r="K139" s="12"/>
      <c r="L139" s="15" t="s">
        <v>10</v>
      </c>
      <c r="M139" s="16"/>
      <c r="N139" s="17" t="str">
        <f aca="false">IF(M139="","",M139+4)</f>
        <v/>
      </c>
      <c r="O139" s="15"/>
      <c r="P139" s="18" t="str">
        <f aca="false">SUBSTITUTE(SUBSTITUTE(IF(I139="A",Μηνύματα!$B$7,Μηνύματα!$B$8),"{ΚΑΤΑΣΤΗΜΑ}",B139),"{ΟΝΟΜΑ}",Μηνύματα!$B$4)</f>
        <v>Γεια σας! 👋 Είμαι ο/η [Το όνομά σου] από την Anbit (anbit.gr). Μας άρεσε πολύ το shed 小屋 Specialty Coffee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0" customFormat="false" ht="141" hidden="false" customHeight="false" outlineLevel="0" collapsed="false">
      <c r="A140" s="12" t="n">
        <v>136</v>
      </c>
      <c r="B140" s="12" t="s">
        <v>585</v>
      </c>
      <c r="C140" s="12" t="s">
        <v>586</v>
      </c>
      <c r="D140" s="13" t="s">
        <v>45</v>
      </c>
      <c r="E140" s="13" t="s">
        <v>46</v>
      </c>
      <c r="F140" s="12" t="s">
        <v>8</v>
      </c>
      <c r="G140" s="12" t="s">
        <v>587</v>
      </c>
      <c r="H140" s="12" t="s">
        <v>119</v>
      </c>
      <c r="I140" s="14" t="s">
        <v>3</v>
      </c>
      <c r="J140" s="12" t="s">
        <v>588</v>
      </c>
      <c r="K140" s="12"/>
      <c r="L140" s="15" t="s">
        <v>10</v>
      </c>
      <c r="M140" s="16"/>
      <c r="N140" s="17" t="str">
        <f aca="false">IF(M140="","",M140+4)</f>
        <v/>
      </c>
      <c r="O140" s="15"/>
      <c r="P140" s="18" t="str">
        <f aca="false">SUBSTITUTE(SUBSTITUTE(IF(I140="A",Μηνύματα!$B$7,Μηνύματα!$B$8),"{ΚΑΤΑΣΤΗΜΑ}",B140),"{ΟΝΟΜΑ}",Μηνύματα!$B$4)</f>
        <v>Γεια σας! 👋 Είμαι ο/η [Το όνομά σου] από την Anbit (anbit.gr). Μας άρεσε πολύ το Skyline (Πύργος ΟΤΕ)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1" customFormat="false" ht="141" hidden="false" customHeight="false" outlineLevel="0" collapsed="false">
      <c r="A141" s="12" t="n">
        <v>137</v>
      </c>
      <c r="B141" s="12" t="s">
        <v>589</v>
      </c>
      <c r="C141" s="12" t="s">
        <v>590</v>
      </c>
      <c r="D141" s="13" t="s">
        <v>45</v>
      </c>
      <c r="E141" s="13" t="s">
        <v>46</v>
      </c>
      <c r="F141" s="12" t="s">
        <v>8</v>
      </c>
      <c r="G141" s="12" t="s">
        <v>591</v>
      </c>
      <c r="H141" s="12" t="s">
        <v>592</v>
      </c>
      <c r="I141" s="14" t="s">
        <v>3</v>
      </c>
      <c r="J141" s="12"/>
      <c r="K141" s="19" t="s">
        <v>105</v>
      </c>
      <c r="L141" s="15" t="s">
        <v>10</v>
      </c>
      <c r="M141" s="16"/>
      <c r="N141" s="17" t="str">
        <f aca="false">IF(M141="","",M141+4)</f>
        <v/>
      </c>
      <c r="O141" s="15"/>
      <c r="P141" s="18" t="str">
        <f aca="false">SUBSTITUTE(SUBSTITUTE(IF(I141="A",Μηνύματα!$B$7,Μηνύματα!$B$8),"{ΚΑΤΑΣΤΗΜΑ}",B141),"{ΟΝΟΜΑ}",Μηνύματα!$B$4)</f>
        <v>Γεια σας! 👋 Είμαι ο/η [Το όνομά σου] από την Anbit (anbit.gr). Μας άρεσε πολύ το Stathmos Cafe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2" customFormat="false" ht="141" hidden="false" customHeight="false" outlineLevel="0" collapsed="false">
      <c r="A142" s="12" t="n">
        <v>138</v>
      </c>
      <c r="B142" s="12" t="s">
        <v>593</v>
      </c>
      <c r="C142" s="12" t="s">
        <v>594</v>
      </c>
      <c r="D142" s="13" t="s">
        <v>45</v>
      </c>
      <c r="E142" s="13" t="s">
        <v>46</v>
      </c>
      <c r="F142" s="12" t="s">
        <v>8</v>
      </c>
      <c r="G142" s="12" t="s">
        <v>595</v>
      </c>
      <c r="H142" s="12" t="s">
        <v>596</v>
      </c>
      <c r="I142" s="14" t="s">
        <v>3</v>
      </c>
      <c r="J142" s="12" t="s">
        <v>597</v>
      </c>
      <c r="K142" s="12"/>
      <c r="L142" s="15" t="s">
        <v>10</v>
      </c>
      <c r="M142" s="16"/>
      <c r="N142" s="17" t="str">
        <f aca="false">IF(M142="","",M142+4)</f>
        <v/>
      </c>
      <c r="O142" s="15"/>
      <c r="P142" s="18" t="str">
        <f aca="false">SUBSTITUTE(SUBSTITUTE(IF(I142="A",Μηνύματα!$B$7,Μηνύματα!$B$8),"{ΚΑΤΑΣΤΗΜΑ}",B142),"{ΟΝΟΜΑ}",Μηνύματα!$B$4)</f>
        <v>Γεια σας! 👋 Είμαι ο/η [Το όνομά σου] από την Anbit (anbit.gr). Μας άρεσε πολύ το Sòrtie Coffee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3" customFormat="false" ht="141" hidden="false" customHeight="false" outlineLevel="0" collapsed="false">
      <c r="A143" s="12" t="n">
        <v>139</v>
      </c>
      <c r="B143" s="12" t="s">
        <v>598</v>
      </c>
      <c r="C143" s="12" t="s">
        <v>599</v>
      </c>
      <c r="D143" s="13" t="s">
        <v>45</v>
      </c>
      <c r="E143" s="13" t="s">
        <v>46</v>
      </c>
      <c r="F143" s="12" t="s">
        <v>8</v>
      </c>
      <c r="G143" s="12"/>
      <c r="H143" s="12" t="s">
        <v>600</v>
      </c>
      <c r="I143" s="14" t="s">
        <v>3</v>
      </c>
      <c r="J143" s="12" t="s">
        <v>601</v>
      </c>
      <c r="K143" s="19" t="s">
        <v>105</v>
      </c>
      <c r="L143" s="15" t="s">
        <v>10</v>
      </c>
      <c r="M143" s="16"/>
      <c r="N143" s="17" t="str">
        <f aca="false">IF(M143="","",M143+4)</f>
        <v/>
      </c>
      <c r="O143" s="15"/>
      <c r="P143" s="18" t="str">
        <f aca="false">SUBSTITUTE(SUBSTITUTE(IF(I143="A",Μηνύματα!$B$7,Μηνύματα!$B$8),"{ΚΑΤΑΣΤΗΜΑ}",B143),"{ΟΝΟΜΑ}",Μηνύματα!$B$4)</f>
        <v>Γεια σας! 👋 Είμαι ο/η [Το όνομά σου] από την Anbit (anbit.gr). Μας άρεσε πολύ το The Bar L.A.B.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4" customFormat="false" ht="141" hidden="false" customHeight="false" outlineLevel="0" collapsed="false">
      <c r="A144" s="12" t="n">
        <v>140</v>
      </c>
      <c r="B144" s="12" t="s">
        <v>602</v>
      </c>
      <c r="C144" s="12" t="s">
        <v>603</v>
      </c>
      <c r="D144" s="13" t="s">
        <v>45</v>
      </c>
      <c r="E144" s="13" t="s">
        <v>46</v>
      </c>
      <c r="F144" s="12" t="s">
        <v>8</v>
      </c>
      <c r="G144" s="12" t="s">
        <v>604</v>
      </c>
      <c r="H144" s="12" t="s">
        <v>207</v>
      </c>
      <c r="I144" s="14" t="s">
        <v>3</v>
      </c>
      <c r="J144" s="12" t="s">
        <v>605</v>
      </c>
      <c r="K144" s="12"/>
      <c r="L144" s="15" t="s">
        <v>10</v>
      </c>
      <c r="M144" s="16"/>
      <c r="N144" s="17" t="str">
        <f aca="false">IF(M144="","",M144+4)</f>
        <v/>
      </c>
      <c r="O144" s="15"/>
      <c r="P144" s="18" t="str">
        <f aca="false">SUBSTITUTE(SUBSTITUTE(IF(I144="A",Μηνύματα!$B$7,Μηνύματα!$B$8),"{ΚΑΤΑΣΤΗΜΑ}",B144),"{ΟΝΟΜΑ}",Μηνύματα!$B$4)</f>
        <v>Γεια σας! 👋 Είμαι ο/η [Το όνομά σου] από την Anbit (anbit.gr). Μας άρεσε πολύ το Villa Luna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5" customFormat="false" ht="141" hidden="false" customHeight="false" outlineLevel="0" collapsed="false">
      <c r="A145" s="12" t="n">
        <v>141</v>
      </c>
      <c r="B145" s="12" t="s">
        <v>606</v>
      </c>
      <c r="C145" s="12" t="s">
        <v>607</v>
      </c>
      <c r="D145" s="13" t="s">
        <v>45</v>
      </c>
      <c r="E145" s="13" t="s">
        <v>46</v>
      </c>
      <c r="F145" s="12" t="s">
        <v>8</v>
      </c>
      <c r="G145" s="12" t="s">
        <v>608</v>
      </c>
      <c r="H145" s="12" t="s">
        <v>132</v>
      </c>
      <c r="I145" s="14" t="s">
        <v>3</v>
      </c>
      <c r="J145" s="12" t="s">
        <v>609</v>
      </c>
      <c r="K145" s="12"/>
      <c r="L145" s="15" t="s">
        <v>10</v>
      </c>
      <c r="M145" s="16"/>
      <c r="N145" s="17" t="str">
        <f aca="false">IF(M145="","",M145+4)</f>
        <v/>
      </c>
      <c r="O145" s="15"/>
      <c r="P145" s="18" t="str">
        <f aca="false">SUBSTITUTE(SUBSTITUTE(IF(I145="A",Μηνύματα!$B$7,Μηνύματα!$B$8),"{ΚΑΤΑΣΤΗΜΑ}",B145),"{ΟΝΟΜΑ}",Μηνύματα!$B$4)</f>
        <v>Γεια σας! 👋 Είμαι ο/η [Το όνομά σου] από την Anbit (anbit.gr). Μας άρεσε πολύ το Αστόρια Καφενείο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6" customFormat="false" ht="141" hidden="false" customHeight="false" outlineLevel="0" collapsed="false">
      <c r="A146" s="12" t="n">
        <v>142</v>
      </c>
      <c r="B146" s="12" t="s">
        <v>610</v>
      </c>
      <c r="C146" s="12" t="s">
        <v>611</v>
      </c>
      <c r="D146" s="13" t="s">
        <v>45</v>
      </c>
      <c r="E146" s="13" t="s">
        <v>46</v>
      </c>
      <c r="F146" s="12" t="s">
        <v>8</v>
      </c>
      <c r="G146" s="12" t="s">
        <v>612</v>
      </c>
      <c r="H146" s="12" t="s">
        <v>613</v>
      </c>
      <c r="I146" s="14" t="s">
        <v>3</v>
      </c>
      <c r="J146" s="12" t="s">
        <v>614</v>
      </c>
      <c r="K146" s="12"/>
      <c r="L146" s="15" t="s">
        <v>10</v>
      </c>
      <c r="M146" s="16"/>
      <c r="N146" s="17" t="str">
        <f aca="false">IF(M146="","",M146+4)</f>
        <v/>
      </c>
      <c r="O146" s="15"/>
      <c r="P146" s="18" t="str">
        <f aca="false">SUBSTITUTE(SUBSTITUTE(IF(I146="A",Μηνύματα!$B$7,Μηνύματα!$B$8),"{ΚΑΤΑΣΤΗΜΑ}",B146),"{ΟΝΟΜΑ}",Μηνύματα!$B$4)</f>
        <v>Γεια σας! 👋 Είμαι ο/η [Το όνομά σου] από την Anbit (anbit.gr). Μας άρεσε πολύ το Θεραπείον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7" customFormat="false" ht="141" hidden="false" customHeight="false" outlineLevel="0" collapsed="false">
      <c r="A147" s="12" t="n">
        <v>143</v>
      </c>
      <c r="B147" s="12" t="s">
        <v>615</v>
      </c>
      <c r="C147" s="12" t="s">
        <v>616</v>
      </c>
      <c r="D147" s="13" t="s">
        <v>45</v>
      </c>
      <c r="E147" s="13" t="s">
        <v>46</v>
      </c>
      <c r="F147" s="12" t="s">
        <v>8</v>
      </c>
      <c r="G147" s="12" t="s">
        <v>56</v>
      </c>
      <c r="H147" s="12" t="s">
        <v>119</v>
      </c>
      <c r="I147" s="14" t="s">
        <v>3</v>
      </c>
      <c r="J147" s="12" t="s">
        <v>617</v>
      </c>
      <c r="K147" s="12"/>
      <c r="L147" s="15" t="s">
        <v>10</v>
      </c>
      <c r="M147" s="16"/>
      <c r="N147" s="17" t="str">
        <f aca="false">IF(M147="","",M147+4)</f>
        <v/>
      </c>
      <c r="O147" s="15"/>
      <c r="P147" s="18" t="str">
        <f aca="false">SUBSTITUTE(SUBSTITUTE(IF(I147="A",Μηνύματα!$B$7,Μηνύματα!$B$8),"{ΚΑΤΑΣΤΗΜΑ}",B147),"{ΟΝΟΜΑ}",Μηνύματα!$B$4)</f>
        <v>Γεια σας! 👋 Είμαι ο/η [Το όνομά σου] από την Anbit (anbit.gr). Μας άρεσε πολύ το Καφέ-Μπαρ Σάρωθρον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8" customFormat="false" ht="141" hidden="false" customHeight="false" outlineLevel="0" collapsed="false">
      <c r="A148" s="12" t="n">
        <v>144</v>
      </c>
      <c r="B148" s="12" t="s">
        <v>618</v>
      </c>
      <c r="C148" s="12" t="s">
        <v>619</v>
      </c>
      <c r="D148" s="13" t="s">
        <v>45</v>
      </c>
      <c r="E148" s="13" t="s">
        <v>46</v>
      </c>
      <c r="F148" s="12" t="s">
        <v>8</v>
      </c>
      <c r="G148" s="12" t="s">
        <v>56</v>
      </c>
      <c r="H148" s="12" t="s">
        <v>266</v>
      </c>
      <c r="I148" s="14" t="s">
        <v>3</v>
      </c>
      <c r="J148" s="12" t="s">
        <v>620</v>
      </c>
      <c r="K148" s="19" t="s">
        <v>105</v>
      </c>
      <c r="L148" s="15" t="s">
        <v>10</v>
      </c>
      <c r="M148" s="16"/>
      <c r="N148" s="17" t="str">
        <f aca="false">IF(M148="","",M148+4)</f>
        <v/>
      </c>
      <c r="O148" s="15"/>
      <c r="P148" s="18" t="str">
        <f aca="false">SUBSTITUTE(SUBSTITUTE(IF(I148="A",Μηνύματα!$B$7,Μηνύματα!$B$8),"{ΚΑΤΑΣΤΗΜΑ}",B148),"{ΟΝΟΜΑ}",Μηνύματα!$B$4)</f>
        <v>Γεια σας! 👋 Είμαι ο/η [Το όνομά σου] από την Anbit (anbit.gr). Μας άρεσε πολύ το Καφενείον Ο Ερμής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49" customFormat="false" ht="141" hidden="false" customHeight="false" outlineLevel="0" collapsed="false">
      <c r="A149" s="12" t="n">
        <v>145</v>
      </c>
      <c r="B149" s="12" t="s">
        <v>621</v>
      </c>
      <c r="C149" s="12" t="s">
        <v>622</v>
      </c>
      <c r="D149" s="13" t="s">
        <v>45</v>
      </c>
      <c r="E149" s="13" t="s">
        <v>46</v>
      </c>
      <c r="F149" s="12" t="s">
        <v>8</v>
      </c>
      <c r="G149" s="12" t="s">
        <v>623</v>
      </c>
      <c r="H149" s="12" t="s">
        <v>207</v>
      </c>
      <c r="I149" s="14" t="s">
        <v>3</v>
      </c>
      <c r="J149" s="12" t="s">
        <v>624</v>
      </c>
      <c r="K149" s="12"/>
      <c r="L149" s="15" t="s">
        <v>10</v>
      </c>
      <c r="M149" s="16"/>
      <c r="N149" s="17" t="str">
        <f aca="false">IF(M149="","",M149+4)</f>
        <v/>
      </c>
      <c r="O149" s="15"/>
      <c r="P149" s="18" t="str">
        <f aca="false">SUBSTITUTE(SUBSTITUTE(IF(I149="A",Μηνύματα!$B$7,Μηνύματα!$B$8),"{ΚΑΤΑΣΤΗΜΑ}",B149),"{ΟΝΟΜΑ}",Μηνύματα!$B$4)</f>
        <v>Γεια σας! 👋 Είμαι ο/η [Το όνομά σου] από την Anbit (anbit.gr). Μας άρεσε πολύ το Λόφος Cafe • Bar • Restaurant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50" customFormat="false" ht="141" hidden="false" customHeight="false" outlineLevel="0" collapsed="false">
      <c r="A150" s="12" t="n">
        <v>146</v>
      </c>
      <c r="B150" s="12" t="s">
        <v>625</v>
      </c>
      <c r="C150" s="12" t="s">
        <v>626</v>
      </c>
      <c r="D150" s="13" t="s">
        <v>45</v>
      </c>
      <c r="E150" s="13" t="s">
        <v>46</v>
      </c>
      <c r="F150" s="12" t="s">
        <v>8</v>
      </c>
      <c r="G150" s="12" t="s">
        <v>627</v>
      </c>
      <c r="H150" s="12" t="s">
        <v>119</v>
      </c>
      <c r="I150" s="14" t="s">
        <v>3</v>
      </c>
      <c r="J150" s="12" t="s">
        <v>628</v>
      </c>
      <c r="K150" s="12"/>
      <c r="L150" s="15" t="s">
        <v>10</v>
      </c>
      <c r="M150" s="16"/>
      <c r="N150" s="17" t="str">
        <f aca="false">IF(M150="","",M150+4)</f>
        <v/>
      </c>
      <c r="O150" s="15"/>
      <c r="P150" s="18" t="str">
        <f aca="false">SUBSTITUTE(SUBSTITUTE(IF(I150="A",Μηνύματα!$B$7,Μηνύματα!$B$8),"{ΚΑΤΑΣΤΗΜΑ}",B150),"{ΟΝΟΜΑ}",Μηνύματα!$B$4)</f>
        <v>Γεια σας! 👋 Είμαι ο/η [Το όνομά σου] από την Anbit (anbit.gr). Μας άρεσε πολύ το Πλειάδες Cafe Bar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51" customFormat="false" ht="141" hidden="false" customHeight="false" outlineLevel="0" collapsed="false">
      <c r="A151" s="12" t="n">
        <v>147</v>
      </c>
      <c r="B151" s="12" t="s">
        <v>629</v>
      </c>
      <c r="C151" s="12" t="s">
        <v>630</v>
      </c>
      <c r="D151" s="13" t="s">
        <v>45</v>
      </c>
      <c r="E151" s="13" t="s">
        <v>46</v>
      </c>
      <c r="F151" s="12" t="s">
        <v>8</v>
      </c>
      <c r="G151" s="12"/>
      <c r="H151" s="12" t="s">
        <v>631</v>
      </c>
      <c r="I151" s="14" t="s">
        <v>3</v>
      </c>
      <c r="J151" s="12" t="s">
        <v>632</v>
      </c>
      <c r="K151" s="19" t="s">
        <v>105</v>
      </c>
      <c r="L151" s="15" t="s">
        <v>10</v>
      </c>
      <c r="M151" s="16"/>
      <c r="N151" s="17" t="str">
        <f aca="false">IF(M151="","",M151+4)</f>
        <v/>
      </c>
      <c r="O151" s="15"/>
      <c r="P151" s="18" t="str">
        <f aca="false">SUBSTITUTE(SUBSTITUTE(IF(I151="A",Μηνύματα!$B$7,Μηνύματα!$B$8),"{ΚΑΤΑΣΤΗΜΑ}",B151),"{ΟΝΟΜΑ}",Μηνύματα!$B$4)</f>
        <v>Γεια σας! 👋 Είμαι ο/η [Το όνομά σου] από την Anbit (anbit.gr). Μας άρεσε πολύ το Το Κτήμα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52" customFormat="false" ht="141" hidden="false" customHeight="false" outlineLevel="0" collapsed="false">
      <c r="A152" s="12" t="n">
        <v>148</v>
      </c>
      <c r="B152" s="12" t="s">
        <v>633</v>
      </c>
      <c r="C152" s="12" t="s">
        <v>634</v>
      </c>
      <c r="D152" s="13" t="s">
        <v>45</v>
      </c>
      <c r="E152" s="13" t="s">
        <v>46</v>
      </c>
      <c r="F152" s="12" t="s">
        <v>8</v>
      </c>
      <c r="G152" s="12"/>
      <c r="H152" s="12" t="s">
        <v>246</v>
      </c>
      <c r="I152" s="14" t="s">
        <v>3</v>
      </c>
      <c r="J152" s="12" t="s">
        <v>635</v>
      </c>
      <c r="K152" s="19" t="s">
        <v>105</v>
      </c>
      <c r="L152" s="15" t="s">
        <v>10</v>
      </c>
      <c r="M152" s="16"/>
      <c r="N152" s="17" t="str">
        <f aca="false">IF(M152="","",M152+4)</f>
        <v/>
      </c>
      <c r="O152" s="15"/>
      <c r="P152" s="18" t="str">
        <f aca="false">SUBSTITUTE(SUBSTITUTE(IF(I152="A",Μηνύματα!$B$7,Μηνύματα!$B$8),"{ΚΑΤΑΣΤΗΜΑ}",B152),"{ΟΝΟΜΑ}",Μηνύματα!$B$4)</f>
        <v>Γεια σας! 👋 Είμαι ο/η [Το όνομά σου] από την Anbit (anbit.gr). Μας άρεσε πολύ το Φοίνιξ Καφενείο και θα θέλαμε να σας προτείνουμε μια συνεργασία.
Η Anbit είναι παραγγελία από το τραπέζι με QR + σύστημα επιβράβευσης πελατών:
• Ο πελάτης σκανάρει το QR, βλέπει το μενού με φωτογραφίες (Ελληνικά/Αγγλικά) και παραγγέλνει, χωρίς εφαρμογή
• Η παραγγελία έρχεται στο κινητό ή στο tablet σας με τον αριθμό τραπεζιού
• Με κάθε παραγγελία μαζεύει πόντους (XP) που εξαργυρώνονται μόνο στο δικό σας μαγαζί, οπότε έχει λόγο να ξαναέρθει
• Βλέπετε ποιος έρχεται, πόσο συχνά και τι παίρνει
• Δεν αλλάζει τίποτα στο ταμείο: ίδιο POS, 0% προμήθεια, το στήνουμε εμείς σε 10 λεπτά
• Δωρεάν προβολή στα TikTok/Instagram της Anbit και στον χάρτη της Anbit
Θα σας ενδιέφερε να σας το δείξουμε από κοντά σε 10 λεπτά, όποτε σας βολεύει;</v>
      </c>
    </row>
    <row r="153" customFormat="false" ht="90.25" hidden="false" customHeight="false" outlineLevel="0" collapsed="false">
      <c r="A153" s="12" t="n">
        <v>149</v>
      </c>
      <c r="B153" s="12" t="s">
        <v>636</v>
      </c>
      <c r="C153" s="12" t="s">
        <v>637</v>
      </c>
      <c r="D153" s="13" t="s">
        <v>45</v>
      </c>
      <c r="E153" s="13" t="s">
        <v>46</v>
      </c>
      <c r="F153" s="12" t="s">
        <v>8</v>
      </c>
      <c r="G153" s="12" t="s">
        <v>638</v>
      </c>
      <c r="H153" s="12" t="s">
        <v>343</v>
      </c>
      <c r="I153" s="14" t="s">
        <v>4</v>
      </c>
      <c r="J153" s="12" t="s">
        <v>639</v>
      </c>
      <c r="K153" s="12"/>
      <c r="L153" s="15" t="s">
        <v>10</v>
      </c>
      <c r="M153" s="16"/>
      <c r="N153" s="17" t="str">
        <f aca="false">IF(M153="","",M153+4)</f>
        <v/>
      </c>
      <c r="O153" s="15"/>
      <c r="P153" s="18" t="str">
        <f aca="false">SUBSTITUTE(SUBSTITUTE(IF(I153="A",Μηνύματα!$B$7,Μηνύματα!$B$8),"{ΚΑΤΑΣΤΗΜΑ}",B153),"{ΟΝΟΜΑ}",Μηνύματα!$B$4)</f>
        <v>Γεια σας! 👋 Είμαι ο/η [Το όνομά σου] από την Anbit (anbit.gr). Είδαμε το Athinaiko Souvlaki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54" customFormat="false" ht="90.25" hidden="false" customHeight="false" outlineLevel="0" collapsed="false">
      <c r="A154" s="12" t="n">
        <v>150</v>
      </c>
      <c r="B154" s="12" t="s">
        <v>640</v>
      </c>
      <c r="C154" s="12" t="s">
        <v>641</v>
      </c>
      <c r="D154" s="13" t="s">
        <v>45</v>
      </c>
      <c r="E154" s="13" t="s">
        <v>46</v>
      </c>
      <c r="F154" s="12" t="s">
        <v>8</v>
      </c>
      <c r="G154" s="12" t="s">
        <v>642</v>
      </c>
      <c r="H154" s="12" t="s">
        <v>643</v>
      </c>
      <c r="I154" s="14" t="s">
        <v>4</v>
      </c>
      <c r="J154" s="12"/>
      <c r="K154" s="12"/>
      <c r="L154" s="15" t="s">
        <v>10</v>
      </c>
      <c r="M154" s="16"/>
      <c r="N154" s="17" t="str">
        <f aca="false">IF(M154="","",M154+4)</f>
        <v/>
      </c>
      <c r="O154" s="15"/>
      <c r="P154" s="18" t="str">
        <f aca="false">SUBSTITUTE(SUBSTITUTE(IF(I154="A",Μηνύματα!$B$7,Μηνύματα!$B$8),"{ΚΑΤΑΣΤΗΜΑ}",B154),"{ΟΝΟΜΑ}",Μηνύματα!$B$4)</f>
        <v>Γεια σας! 👋 Είμαι ο/η [Το όνομά σου] από την Anbit (anbit.gr). Είδαμε το Austin Smokehouse BBQ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55" customFormat="false" ht="90.25" hidden="false" customHeight="false" outlineLevel="0" collapsed="false">
      <c r="A155" s="12" t="n">
        <v>151</v>
      </c>
      <c r="B155" s="12" t="s">
        <v>644</v>
      </c>
      <c r="C155" s="12" t="s">
        <v>645</v>
      </c>
      <c r="D155" s="13" t="s">
        <v>45</v>
      </c>
      <c r="E155" s="13" t="s">
        <v>46</v>
      </c>
      <c r="F155" s="12" t="s">
        <v>8</v>
      </c>
      <c r="G155" s="12" t="s">
        <v>56</v>
      </c>
      <c r="H155" s="12" t="s">
        <v>310</v>
      </c>
      <c r="I155" s="14" t="s">
        <v>4</v>
      </c>
      <c r="J155" s="12" t="s">
        <v>646</v>
      </c>
      <c r="K155" s="12"/>
      <c r="L155" s="15" t="s">
        <v>10</v>
      </c>
      <c r="M155" s="16"/>
      <c r="N155" s="17" t="str">
        <f aca="false">IF(M155="","",M155+4)</f>
        <v/>
      </c>
      <c r="O155" s="15"/>
      <c r="P155" s="18" t="str">
        <f aca="false">SUBSTITUTE(SUBSTITUTE(IF(I155="A",Μηνύματα!$B$7,Μηνύματα!$B$8),"{ΚΑΤΑΣΤΗΜΑ}",B155),"{ΟΝΟΜΑ}",Μηνύματα!$B$4)</f>
        <v>Γεια σας! 👋 Είμαι ο/η [Το όνομά σου] από την Anbit (anbit.gr). Είδαμε το Berlin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56" customFormat="false" ht="90.25" hidden="false" customHeight="false" outlineLevel="0" collapsed="false">
      <c r="A156" s="12" t="n">
        <v>152</v>
      </c>
      <c r="B156" s="12" t="s">
        <v>647</v>
      </c>
      <c r="C156" s="12" t="s">
        <v>648</v>
      </c>
      <c r="D156" s="13" t="s">
        <v>45</v>
      </c>
      <c r="E156" s="13" t="s">
        <v>46</v>
      </c>
      <c r="F156" s="12" t="s">
        <v>8</v>
      </c>
      <c r="G156" s="12" t="s">
        <v>56</v>
      </c>
      <c r="H156" s="12" t="s">
        <v>649</v>
      </c>
      <c r="I156" s="14" t="s">
        <v>4</v>
      </c>
      <c r="J156" s="12" t="s">
        <v>650</v>
      </c>
      <c r="K156" s="12"/>
      <c r="L156" s="15" t="s">
        <v>10</v>
      </c>
      <c r="M156" s="16"/>
      <c r="N156" s="17" t="str">
        <f aca="false">IF(M156="","",M156+4)</f>
        <v/>
      </c>
      <c r="O156" s="15"/>
      <c r="P156" s="18" t="str">
        <f aca="false">SUBSTITUTE(SUBSTITUTE(IF(I156="A",Μηνύματα!$B$7,Μηνύματα!$B$8),"{ΚΑΤΑΣΤΗΜΑ}",B156),"{ΟΝΟΜΑ}",Μηνύματα!$B$4)</f>
        <v>Γεια σας! 👋 Είμαι ο/η [Το όνομά σου] από την Anbit (anbit.gr). Είδαμε το Blé Vin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57" customFormat="false" ht="90.25" hidden="false" customHeight="false" outlineLevel="0" collapsed="false">
      <c r="A157" s="12" t="n">
        <v>153</v>
      </c>
      <c r="B157" s="12" t="s">
        <v>651</v>
      </c>
      <c r="C157" s="12" t="s">
        <v>652</v>
      </c>
      <c r="D157" s="13" t="s">
        <v>45</v>
      </c>
      <c r="E157" s="13" t="s">
        <v>46</v>
      </c>
      <c r="F157" s="12" t="s">
        <v>8</v>
      </c>
      <c r="G157" s="12"/>
      <c r="H157" s="12" t="s">
        <v>310</v>
      </c>
      <c r="I157" s="14" t="s">
        <v>4</v>
      </c>
      <c r="J157" s="12"/>
      <c r="K157" s="12"/>
      <c r="L157" s="15" t="s">
        <v>10</v>
      </c>
      <c r="M157" s="16"/>
      <c r="N157" s="17" t="str">
        <f aca="false">IF(M157="","",M157+4)</f>
        <v/>
      </c>
      <c r="O157" s="15"/>
      <c r="P157" s="18" t="str">
        <f aca="false">SUBSTITUTE(SUBSTITUTE(IF(I157="A",Μηνύματα!$B$7,Μηνύματα!$B$8),"{ΚΑΤΑΣΤΗΜΑ}",B157),"{ΟΝΟΜΑ}",Μηνύματα!$B$4)</f>
        <v>Γεια σας! 👋 Είμαι ο/η [Το όνομά σου] από την Anbit (anbit.gr). Είδαμε το CABARE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58" customFormat="false" ht="90.25" hidden="false" customHeight="false" outlineLevel="0" collapsed="false">
      <c r="A158" s="12" t="n">
        <v>154</v>
      </c>
      <c r="B158" s="12" t="s">
        <v>653</v>
      </c>
      <c r="C158" s="12" t="s">
        <v>654</v>
      </c>
      <c r="D158" s="13" t="s">
        <v>45</v>
      </c>
      <c r="E158" s="13" t="s">
        <v>46</v>
      </c>
      <c r="F158" s="12" t="s">
        <v>8</v>
      </c>
      <c r="G158" s="12" t="s">
        <v>655</v>
      </c>
      <c r="H158" s="12" t="s">
        <v>310</v>
      </c>
      <c r="I158" s="14" t="s">
        <v>4</v>
      </c>
      <c r="J158" s="12"/>
      <c r="K158" s="12"/>
      <c r="L158" s="15" t="s">
        <v>10</v>
      </c>
      <c r="M158" s="16"/>
      <c r="N158" s="17" t="str">
        <f aca="false">IF(M158="","",M158+4)</f>
        <v/>
      </c>
      <c r="O158" s="15"/>
      <c r="P158" s="18" t="str">
        <f aca="false">SUBSTITUTE(SUBSTITUTE(IF(I158="A",Μηνύματα!$B$7,Μηνύματα!$B$8),"{ΚΑΤΑΣΤΗΜΑ}",B158),"{ΟΝΟΜΑ}",Μηνύματα!$B$4)</f>
        <v>Γεια σας! 👋 Είμαι ο/η [Το όνομά σου] από την Anbit (anbit.gr). Είδαμε το Casper at Verykoko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59" customFormat="false" ht="90.25" hidden="false" customHeight="false" outlineLevel="0" collapsed="false">
      <c r="A159" s="12" t="n">
        <v>155</v>
      </c>
      <c r="B159" s="12" t="s">
        <v>656</v>
      </c>
      <c r="C159" s="12" t="s">
        <v>657</v>
      </c>
      <c r="D159" s="13" t="s">
        <v>45</v>
      </c>
      <c r="E159" s="13" t="s">
        <v>46</v>
      </c>
      <c r="F159" s="12" t="s">
        <v>8</v>
      </c>
      <c r="G159" s="12"/>
      <c r="H159" s="12" t="s">
        <v>389</v>
      </c>
      <c r="I159" s="14" t="s">
        <v>4</v>
      </c>
      <c r="J159" s="12" t="s">
        <v>658</v>
      </c>
      <c r="K159" s="19" t="s">
        <v>105</v>
      </c>
      <c r="L159" s="15" t="s">
        <v>10</v>
      </c>
      <c r="M159" s="16"/>
      <c r="N159" s="17" t="str">
        <f aca="false">IF(M159="","",M159+4)</f>
        <v/>
      </c>
      <c r="O159" s="15"/>
      <c r="P159" s="18" t="str">
        <f aca="false">SUBSTITUTE(SUBSTITUTE(IF(I159="A",Μηνύματα!$B$7,Μηνύματα!$B$8),"{ΚΑΤΑΣΤΗΜΑ}",B159),"{ΟΝΟΜΑ}",Μηνύματα!$B$4)</f>
        <v>Γεια σας! 👋 Είμαι ο/η [Το όνομά σου] από την Anbit (anbit.gr). Είδαμε το Drosia – Νεοκλασικόν Ταβερνείον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0" customFormat="false" ht="90.25" hidden="false" customHeight="false" outlineLevel="0" collapsed="false">
      <c r="A160" s="12" t="n">
        <v>156</v>
      </c>
      <c r="B160" s="12" t="s">
        <v>659</v>
      </c>
      <c r="C160" s="12" t="s">
        <v>660</v>
      </c>
      <c r="D160" s="13" t="s">
        <v>45</v>
      </c>
      <c r="E160" s="13" t="s">
        <v>46</v>
      </c>
      <c r="F160" s="12" t="s">
        <v>8</v>
      </c>
      <c r="G160" s="12" t="s">
        <v>56</v>
      </c>
      <c r="H160" s="12" t="s">
        <v>319</v>
      </c>
      <c r="I160" s="14" t="s">
        <v>4</v>
      </c>
      <c r="J160" s="12"/>
      <c r="K160" s="12"/>
      <c r="L160" s="15" t="s">
        <v>10</v>
      </c>
      <c r="M160" s="16"/>
      <c r="N160" s="17" t="str">
        <f aca="false">IF(M160="","",M160+4)</f>
        <v/>
      </c>
      <c r="O160" s="15"/>
      <c r="P160" s="18" t="str">
        <f aca="false">SUBSTITUTE(SUBSTITUTE(IF(I160="A",Μηνύματα!$B$7,Μηνύματα!$B$8),"{ΚΑΤΑΣΤΗΜΑ}",B160),"{ΟΝΟΜΑ}",Μηνύματα!$B$4)</f>
        <v>Γεια σας! 👋 Είμαι ο/η [Το όνομά σου] από την Anbit (anbit.gr). Είδαμε το Ennea Rooftop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1" customFormat="false" ht="90.25" hidden="false" customHeight="false" outlineLevel="0" collapsed="false">
      <c r="A161" s="12" t="n">
        <v>157</v>
      </c>
      <c r="B161" s="12" t="s">
        <v>661</v>
      </c>
      <c r="C161" s="12" t="s">
        <v>662</v>
      </c>
      <c r="D161" s="13" t="s">
        <v>45</v>
      </c>
      <c r="E161" s="13" t="s">
        <v>46</v>
      </c>
      <c r="F161" s="12" t="s">
        <v>8</v>
      </c>
      <c r="G161" s="12" t="s">
        <v>663</v>
      </c>
      <c r="H161" s="12" t="s">
        <v>310</v>
      </c>
      <c r="I161" s="14" t="s">
        <v>4</v>
      </c>
      <c r="J161" s="12" t="s">
        <v>664</v>
      </c>
      <c r="K161" s="12"/>
      <c r="L161" s="15" t="s">
        <v>10</v>
      </c>
      <c r="M161" s="16"/>
      <c r="N161" s="17" t="str">
        <f aca="false">IF(M161="","",M161+4)</f>
        <v/>
      </c>
      <c r="O161" s="15"/>
      <c r="P161" s="18" t="str">
        <f aca="false">SUBSTITUTE(SUBSTITUTE(IF(I161="A",Μηνύματα!$B$7,Μηνύματα!$B$8),"{ΚΑΤΑΣΤΗΜΑ}",B161),"{ΟΝΟΜΑ}",Μηνύματα!$B$4)</f>
        <v>Γεια σας! 👋 Είμαι ο/η [Το όνομά σου] από την Anbit (anbit.gr). Είδαμε το Enola Bar Club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2" customFormat="false" ht="90.25" hidden="false" customHeight="false" outlineLevel="0" collapsed="false">
      <c r="A162" s="12" t="n">
        <v>158</v>
      </c>
      <c r="B162" s="12" t="s">
        <v>665</v>
      </c>
      <c r="C162" s="12" t="s">
        <v>666</v>
      </c>
      <c r="D162" s="13" t="s">
        <v>45</v>
      </c>
      <c r="E162" s="13" t="s">
        <v>46</v>
      </c>
      <c r="F162" s="12" t="s">
        <v>8</v>
      </c>
      <c r="G162" s="12" t="s">
        <v>667</v>
      </c>
      <c r="H162" s="12" t="s">
        <v>668</v>
      </c>
      <c r="I162" s="14" t="s">
        <v>4</v>
      </c>
      <c r="J162" s="12" t="s">
        <v>669</v>
      </c>
      <c r="K162" s="12"/>
      <c r="L162" s="15" t="s">
        <v>10</v>
      </c>
      <c r="M162" s="16"/>
      <c r="N162" s="17" t="str">
        <f aca="false">IF(M162="","",M162+4)</f>
        <v/>
      </c>
      <c r="O162" s="15"/>
      <c r="P162" s="18" t="str">
        <f aca="false">SUBSTITUTE(SUBSTITUTE(IF(I162="A",Μηνύματα!$B$7,Μηνύματα!$B$8),"{ΚΑΤΑΣΤΗΜΑ}",B162),"{ΟΝΟΜΑ}",Μηνύματα!$B$4)</f>
        <v>Γεια σας! 👋 Είμαι ο/η [Το όνομά σου] από την Anbit (anbit.gr). Είδαμε το Fennel Gastrotavern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3" customFormat="false" ht="90.25" hidden="false" customHeight="false" outlineLevel="0" collapsed="false">
      <c r="A163" s="12" t="n">
        <v>159</v>
      </c>
      <c r="B163" s="12" t="s">
        <v>670</v>
      </c>
      <c r="C163" s="12" t="s">
        <v>671</v>
      </c>
      <c r="D163" s="13" t="s">
        <v>45</v>
      </c>
      <c r="E163" s="13" t="s">
        <v>46</v>
      </c>
      <c r="F163" s="12" t="s">
        <v>8</v>
      </c>
      <c r="G163" s="12"/>
      <c r="H163" s="12" t="s">
        <v>348</v>
      </c>
      <c r="I163" s="14" t="s">
        <v>4</v>
      </c>
      <c r="J163" s="12"/>
      <c r="K163" s="19" t="s">
        <v>284</v>
      </c>
      <c r="L163" s="15" t="s">
        <v>10</v>
      </c>
      <c r="M163" s="16"/>
      <c r="N163" s="17" t="str">
        <f aca="false">IF(M163="","",M163+4)</f>
        <v/>
      </c>
      <c r="O163" s="15"/>
      <c r="P163" s="18" t="str">
        <f aca="false">SUBSTITUTE(SUBSTITUTE(IF(I163="A",Μηνύματα!$B$7,Μηνύματα!$B$8),"{ΚΑΤΑΣΤΗΜΑ}",B163),"{ΟΝΟΜΑ}",Μηνύματα!$B$4)</f>
        <v>Γεια σας! 👋 Είμαι ο/η [Το όνομά σου] από την Anbit (anbit.gr). Είδαμε το FOLIĂ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4" customFormat="false" ht="90.25" hidden="false" customHeight="false" outlineLevel="0" collapsed="false">
      <c r="A164" s="12" t="n">
        <v>160</v>
      </c>
      <c r="B164" s="12" t="s">
        <v>672</v>
      </c>
      <c r="C164" s="12" t="s">
        <v>673</v>
      </c>
      <c r="D164" s="13" t="s">
        <v>45</v>
      </c>
      <c r="E164" s="13" t="s">
        <v>46</v>
      </c>
      <c r="F164" s="12" t="s">
        <v>8</v>
      </c>
      <c r="G164" s="12"/>
      <c r="H164" s="12" t="s">
        <v>674</v>
      </c>
      <c r="I164" s="14" t="s">
        <v>4</v>
      </c>
      <c r="J164" s="12" t="s">
        <v>675</v>
      </c>
      <c r="K164" s="12"/>
      <c r="L164" s="15" t="s">
        <v>10</v>
      </c>
      <c r="M164" s="16"/>
      <c r="N164" s="17" t="str">
        <f aca="false">IF(M164="","",M164+4)</f>
        <v/>
      </c>
      <c r="O164" s="15"/>
      <c r="P164" s="18" t="str">
        <f aca="false">SUBSTITUTE(SUBSTITUTE(IF(I164="A",Μηνύματα!$B$7,Μηνύματα!$B$8),"{ΚΑΤΑΣΤΗΜΑ}",B164),"{ΟΝΟΜΑ}",Μηνύματα!$B$4)</f>
        <v>Γεια σας! 👋 Είμαι ο/η [Το όνομά σου] από την Anbit (anbit.gr). Είδαμε το Gatsby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5" customFormat="false" ht="90.25" hidden="false" customHeight="false" outlineLevel="0" collapsed="false">
      <c r="A165" s="12" t="n">
        <v>161</v>
      </c>
      <c r="B165" s="12" t="s">
        <v>676</v>
      </c>
      <c r="C165" s="12" t="s">
        <v>677</v>
      </c>
      <c r="D165" s="13" t="s">
        <v>45</v>
      </c>
      <c r="E165" s="13" t="s">
        <v>46</v>
      </c>
      <c r="F165" s="12" t="s">
        <v>8</v>
      </c>
      <c r="G165" s="12"/>
      <c r="H165" s="12" t="s">
        <v>310</v>
      </c>
      <c r="I165" s="14" t="s">
        <v>4</v>
      </c>
      <c r="J165" s="12"/>
      <c r="K165" s="19" t="s">
        <v>105</v>
      </c>
      <c r="L165" s="15" t="s">
        <v>10</v>
      </c>
      <c r="M165" s="16"/>
      <c r="N165" s="17" t="str">
        <f aca="false">IF(M165="","",M165+4)</f>
        <v/>
      </c>
      <c r="O165" s="15"/>
      <c r="P165" s="18" t="str">
        <f aca="false">SUBSTITUTE(SUBSTITUTE(IF(I165="A",Μηνύματα!$B$7,Μηνύματα!$B$8),"{ΚΑΤΑΣΤΗΜΑ}",B165),"{ΟΝΟΜΑ}",Μηνύματα!$B$4)</f>
        <v>Γεια σας! 👋 Είμαι ο/η [Το όνομά σου] από την Anbit (anbit.gr). Είδαμε το Gorilla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6" customFormat="false" ht="90.25" hidden="false" customHeight="false" outlineLevel="0" collapsed="false">
      <c r="A166" s="12" t="n">
        <v>162</v>
      </c>
      <c r="B166" s="12" t="s">
        <v>678</v>
      </c>
      <c r="C166" s="12" t="s">
        <v>679</v>
      </c>
      <c r="D166" s="13" t="s">
        <v>45</v>
      </c>
      <c r="E166" s="13" t="s">
        <v>46</v>
      </c>
      <c r="F166" s="12" t="s">
        <v>8</v>
      </c>
      <c r="G166" s="12" t="s">
        <v>680</v>
      </c>
      <c r="H166" s="12" t="s">
        <v>681</v>
      </c>
      <c r="I166" s="14" t="s">
        <v>4</v>
      </c>
      <c r="J166" s="12"/>
      <c r="K166" s="12"/>
      <c r="L166" s="15" t="s">
        <v>10</v>
      </c>
      <c r="M166" s="16"/>
      <c r="N166" s="17" t="str">
        <f aca="false">IF(M166="","",M166+4)</f>
        <v/>
      </c>
      <c r="O166" s="15"/>
      <c r="P166" s="18" t="str">
        <f aca="false">SUBSTITUTE(SUBSTITUTE(IF(I166="A",Μηνύματα!$B$7,Μηνύματα!$B$8),"{ΚΑΤΑΣΤΗΜΑ}",B166),"{ΟΝΟΜΑ}",Μηνύματα!$B$4)</f>
        <v>Γεια σας! 👋 Είμαι ο/η [Το όνομά σου] από την Anbit (anbit.gr). Είδαμε το Lykos – Χασαποταβέρνα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7" customFormat="false" ht="90.25" hidden="false" customHeight="false" outlineLevel="0" collapsed="false">
      <c r="A167" s="12" t="n">
        <v>163</v>
      </c>
      <c r="B167" s="12" t="s">
        <v>682</v>
      </c>
      <c r="C167" s="12" t="s">
        <v>683</v>
      </c>
      <c r="D167" s="13" t="s">
        <v>45</v>
      </c>
      <c r="E167" s="13" t="s">
        <v>46</v>
      </c>
      <c r="F167" s="12" t="s">
        <v>8</v>
      </c>
      <c r="G167" s="12" t="s">
        <v>684</v>
      </c>
      <c r="H167" s="12" t="s">
        <v>685</v>
      </c>
      <c r="I167" s="14" t="s">
        <v>4</v>
      </c>
      <c r="J167" s="12"/>
      <c r="K167" s="12"/>
      <c r="L167" s="15" t="s">
        <v>10</v>
      </c>
      <c r="M167" s="16"/>
      <c r="N167" s="17" t="str">
        <f aca="false">IF(M167="","",M167+4)</f>
        <v/>
      </c>
      <c r="O167" s="15"/>
      <c r="P167" s="18" t="str">
        <f aca="false">SUBSTITUTE(SUBSTITUTE(IF(I167="A",Μηνύματα!$B$7,Μηνύματα!$B$8),"{ΚΑΤΑΣΤΗΜΑ}",B167),"{ΟΝΟΜΑ}",Μηνύματα!$B$4)</f>
        <v>Γεια σας! 👋 Είμαι ο/η [Το όνομά σου] από την Anbit (anbit.gr). Είδαμε το Papagalos Rock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8" customFormat="false" ht="90.25" hidden="false" customHeight="false" outlineLevel="0" collapsed="false">
      <c r="A168" s="12" t="n">
        <v>164</v>
      </c>
      <c r="B168" s="12" t="s">
        <v>686</v>
      </c>
      <c r="C168" s="12" t="s">
        <v>687</v>
      </c>
      <c r="D168" s="13" t="s">
        <v>45</v>
      </c>
      <c r="E168" s="13" t="s">
        <v>46</v>
      </c>
      <c r="F168" s="12" t="s">
        <v>8</v>
      </c>
      <c r="G168" s="12" t="s">
        <v>688</v>
      </c>
      <c r="H168" s="12" t="s">
        <v>689</v>
      </c>
      <c r="I168" s="14" t="s">
        <v>4</v>
      </c>
      <c r="J168" s="12" t="s">
        <v>690</v>
      </c>
      <c r="K168" s="12"/>
      <c r="L168" s="15" t="s">
        <v>10</v>
      </c>
      <c r="M168" s="16"/>
      <c r="N168" s="17" t="str">
        <f aca="false">IF(M168="","",M168+4)</f>
        <v/>
      </c>
      <c r="O168" s="15"/>
      <c r="P168" s="18" t="str">
        <f aca="false">SUBSTITUTE(SUBSTITUTE(IF(I168="A",Μηνύματα!$B$7,Μηνύματα!$B$8),"{ΚΑΤΑΣΤΗΜΑ}",B168),"{ΟΝΟΜΑ}",Μηνύματα!$B$4)</f>
        <v>Γεια σας! 👋 Είμαι ο/η [Το όνομά σου] από την Anbit (anbit.gr). Είδαμε το PAX Burgers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69" customFormat="false" ht="90.25" hidden="false" customHeight="false" outlineLevel="0" collapsed="false">
      <c r="A169" s="12" t="n">
        <v>165</v>
      </c>
      <c r="B169" s="12" t="s">
        <v>691</v>
      </c>
      <c r="C169" s="12" t="s">
        <v>692</v>
      </c>
      <c r="D169" s="13" t="s">
        <v>45</v>
      </c>
      <c r="E169" s="13" t="s">
        <v>46</v>
      </c>
      <c r="F169" s="12" t="s">
        <v>8</v>
      </c>
      <c r="G169" s="12" t="s">
        <v>693</v>
      </c>
      <c r="H169" s="12" t="s">
        <v>694</v>
      </c>
      <c r="I169" s="14" t="s">
        <v>4</v>
      </c>
      <c r="J169" s="12"/>
      <c r="K169" s="12"/>
      <c r="L169" s="15" t="s">
        <v>10</v>
      </c>
      <c r="M169" s="16"/>
      <c r="N169" s="17" t="str">
        <f aca="false">IF(M169="","",M169+4)</f>
        <v/>
      </c>
      <c r="O169" s="15"/>
      <c r="P169" s="18" t="str">
        <f aca="false">SUBSTITUTE(SUBSTITUTE(IF(I169="A",Μηνύματα!$B$7,Μηνύματα!$B$8),"{ΚΑΤΑΣΤΗΜΑ}",B169),"{ΟΝΟΜΑ}",Μηνύματα!$B$4)</f>
        <v>Γεια σας! 👋 Είμαι ο/η [Το όνομά σου] από την Anbit (anbit.gr). Είδαμε το Po'boys Burgers &amp; BBQ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0" customFormat="false" ht="90.25" hidden="false" customHeight="false" outlineLevel="0" collapsed="false">
      <c r="A170" s="12" t="n">
        <v>166</v>
      </c>
      <c r="B170" s="12" t="s">
        <v>695</v>
      </c>
      <c r="C170" s="12" t="s">
        <v>696</v>
      </c>
      <c r="D170" s="13" t="s">
        <v>45</v>
      </c>
      <c r="E170" s="13" t="s">
        <v>46</v>
      </c>
      <c r="F170" s="12" t="s">
        <v>8</v>
      </c>
      <c r="G170" s="12" t="s">
        <v>697</v>
      </c>
      <c r="H170" s="12" t="s">
        <v>698</v>
      </c>
      <c r="I170" s="14" t="s">
        <v>4</v>
      </c>
      <c r="J170" s="12" t="s">
        <v>699</v>
      </c>
      <c r="K170" s="12"/>
      <c r="L170" s="15" t="s">
        <v>10</v>
      </c>
      <c r="M170" s="16"/>
      <c r="N170" s="17" t="str">
        <f aca="false">IF(M170="","",M170+4)</f>
        <v/>
      </c>
      <c r="O170" s="15"/>
      <c r="P170" s="18" t="str">
        <f aca="false">SUBSTITUTE(SUBSTITUTE(IF(I170="A",Μηνύματα!$B$7,Μηνύματα!$B$8),"{ΚΑΤΑΣΤΗΜΑ}",B170),"{ΟΝΟΜΑ}",Μηνύματα!$B$4)</f>
        <v>Γεια σας! 👋 Είμαι ο/η [Το όνομά σου] από την Anbit (anbit.gr). Είδαμε το Prassas Grill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1" customFormat="false" ht="90.25" hidden="false" customHeight="false" outlineLevel="0" collapsed="false">
      <c r="A171" s="12" t="n">
        <v>167</v>
      </c>
      <c r="B171" s="12" t="s">
        <v>700</v>
      </c>
      <c r="C171" s="12" t="s">
        <v>701</v>
      </c>
      <c r="D171" s="13" t="s">
        <v>45</v>
      </c>
      <c r="E171" s="13" t="s">
        <v>46</v>
      </c>
      <c r="F171" s="12" t="s">
        <v>8</v>
      </c>
      <c r="G171" s="12"/>
      <c r="H171" s="12" t="s">
        <v>702</v>
      </c>
      <c r="I171" s="14" t="s">
        <v>4</v>
      </c>
      <c r="J171" s="12" t="s">
        <v>703</v>
      </c>
      <c r="K171" s="19" t="s">
        <v>105</v>
      </c>
      <c r="L171" s="15" t="s">
        <v>10</v>
      </c>
      <c r="M171" s="16"/>
      <c r="N171" s="17" t="str">
        <f aca="false">IF(M171="","",M171+4)</f>
        <v/>
      </c>
      <c r="O171" s="15"/>
      <c r="P171" s="18" t="str">
        <f aca="false">SUBSTITUTE(SUBSTITUTE(IF(I171="A",Μηνύματα!$B$7,Μηνύματα!$B$8),"{ΚΑΤΑΣΤΗΜΑ}",B171),"{ΟΝΟΜΑ}",Μηνύματα!$B$4)</f>
        <v>Γεια σας! 👋 Είμαι ο/η [Το όνομά σου] από την Anbit (anbit.gr). Είδαμε το PRATINA Burger Project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2" customFormat="false" ht="90.25" hidden="false" customHeight="false" outlineLevel="0" collapsed="false">
      <c r="A172" s="12" t="n">
        <v>168</v>
      </c>
      <c r="B172" s="12" t="s">
        <v>704</v>
      </c>
      <c r="C172" s="12" t="s">
        <v>705</v>
      </c>
      <c r="D172" s="13" t="s">
        <v>45</v>
      </c>
      <c r="E172" s="13" t="s">
        <v>46</v>
      </c>
      <c r="F172" s="12" t="s">
        <v>8</v>
      </c>
      <c r="G172" s="12" t="s">
        <v>56</v>
      </c>
      <c r="H172" s="12" t="s">
        <v>706</v>
      </c>
      <c r="I172" s="14" t="s">
        <v>4</v>
      </c>
      <c r="J172" s="12" t="s">
        <v>707</v>
      </c>
      <c r="K172" s="12"/>
      <c r="L172" s="15" t="s">
        <v>10</v>
      </c>
      <c r="M172" s="16"/>
      <c r="N172" s="17" t="str">
        <f aca="false">IF(M172="","",M172+4)</f>
        <v/>
      </c>
      <c r="O172" s="15"/>
      <c r="P172" s="18" t="str">
        <f aca="false">SUBSTITUTE(SUBSTITUTE(IF(I172="A",Μηνύματα!$B$7,Μηνύματα!$B$8),"{ΚΑΤΑΣΤΗΜΑ}",B172),"{ΟΝΟΜΑ}",Μηνύματα!$B$4)</f>
        <v>Γεια σας! 👋 Είμαι ο/η [Το όνομά σου] από την Anbit (anbit.gr). Είδαμε το ReHaB Pub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3" customFormat="false" ht="90.25" hidden="false" customHeight="false" outlineLevel="0" collapsed="false">
      <c r="A173" s="12" t="n">
        <v>169</v>
      </c>
      <c r="B173" s="12" t="s">
        <v>708</v>
      </c>
      <c r="C173" s="12" t="s">
        <v>709</v>
      </c>
      <c r="D173" s="13" t="s">
        <v>45</v>
      </c>
      <c r="E173" s="13" t="s">
        <v>46</v>
      </c>
      <c r="F173" s="12" t="s">
        <v>8</v>
      </c>
      <c r="G173" s="12" t="s">
        <v>710</v>
      </c>
      <c r="H173" s="12" t="s">
        <v>711</v>
      </c>
      <c r="I173" s="14" t="s">
        <v>4</v>
      </c>
      <c r="J173" s="12" t="s">
        <v>712</v>
      </c>
      <c r="K173" s="12"/>
      <c r="L173" s="15" t="s">
        <v>10</v>
      </c>
      <c r="M173" s="16"/>
      <c r="N173" s="17" t="str">
        <f aca="false">IF(M173="","",M173+4)</f>
        <v/>
      </c>
      <c r="O173" s="15"/>
      <c r="P173" s="18" t="str">
        <f aca="false">SUBSTITUTE(SUBSTITUTE(IF(I173="A",Μηνύματα!$B$7,Μηνύματα!$B$8),"{ΚΑΤΑΣΤΗΜΑ}",B173),"{ΟΝΟΜΑ}",Μηνύματα!$B$4)</f>
        <v>Γεια σας! 👋 Είμαι ο/η [Το όνομά σου] από την Anbit (anbit.gr). Είδαμε το Siena Pizzeria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4" customFormat="false" ht="90.25" hidden="false" customHeight="false" outlineLevel="0" collapsed="false">
      <c r="A174" s="12" t="n">
        <v>170</v>
      </c>
      <c r="B174" s="12" t="s">
        <v>713</v>
      </c>
      <c r="C174" s="12" t="s">
        <v>714</v>
      </c>
      <c r="D174" s="13" t="s">
        <v>45</v>
      </c>
      <c r="E174" s="13" t="s">
        <v>46</v>
      </c>
      <c r="F174" s="12" t="s">
        <v>8</v>
      </c>
      <c r="G174" s="12" t="s">
        <v>715</v>
      </c>
      <c r="H174" s="12" t="s">
        <v>323</v>
      </c>
      <c r="I174" s="14" t="s">
        <v>4</v>
      </c>
      <c r="J174" s="12"/>
      <c r="K174" s="12"/>
      <c r="L174" s="15" t="s">
        <v>10</v>
      </c>
      <c r="M174" s="16"/>
      <c r="N174" s="17" t="str">
        <f aca="false">IF(M174="","",M174+4)</f>
        <v/>
      </c>
      <c r="O174" s="15"/>
      <c r="P174" s="18" t="str">
        <f aca="false">SUBSTITUTE(SUBSTITUTE(IF(I174="A",Μηνύματα!$B$7,Μηνύματα!$B$8),"{ΚΑΤΑΣΤΗΜΑ}",B174),"{ΟΝΟΜΑ}",Μηνύματα!$B$4)</f>
        <v>Γεια σας! 👋 Είμαι ο/η [Το όνομά σου] από την Anbit (anbit.gr). Είδαμε το Sinergio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5" customFormat="false" ht="90.25" hidden="false" customHeight="false" outlineLevel="0" collapsed="false">
      <c r="A175" s="12" t="n">
        <v>171</v>
      </c>
      <c r="B175" s="12" t="s">
        <v>716</v>
      </c>
      <c r="C175" s="12" t="s">
        <v>717</v>
      </c>
      <c r="D175" s="13" t="s">
        <v>45</v>
      </c>
      <c r="E175" s="13" t="s">
        <v>46</v>
      </c>
      <c r="F175" s="12" t="s">
        <v>8</v>
      </c>
      <c r="G175" s="12" t="s">
        <v>718</v>
      </c>
      <c r="H175" s="12" t="s">
        <v>719</v>
      </c>
      <c r="I175" s="14" t="s">
        <v>4</v>
      </c>
      <c r="J175" s="12" t="s">
        <v>720</v>
      </c>
      <c r="K175" s="12"/>
      <c r="L175" s="15" t="s">
        <v>10</v>
      </c>
      <c r="M175" s="16"/>
      <c r="N175" s="17" t="str">
        <f aca="false">IF(M175="","",M175+4)</f>
        <v/>
      </c>
      <c r="O175" s="15"/>
      <c r="P175" s="18" t="str">
        <f aca="false">SUBSTITUTE(SUBSTITUTE(IF(I175="A",Μηνύματα!$B$7,Μηνύματα!$B$8),"{ΚΑΤΑΣΤΗΜΑ}",B175),"{ΟΝΟΜΑ}",Μηνύματα!$B$4)</f>
        <v>Γεια σας! 👋 Είμαι ο/η [Το όνομά σου] από την Anbit (anbit.gr). Είδαμε το STOA BAR by «Μη με Λησμόνει»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6" customFormat="false" ht="90.25" hidden="false" customHeight="false" outlineLevel="0" collapsed="false">
      <c r="A176" s="12" t="n">
        <v>172</v>
      </c>
      <c r="B176" s="12" t="s">
        <v>721</v>
      </c>
      <c r="C176" s="12" t="s">
        <v>722</v>
      </c>
      <c r="D176" s="13" t="s">
        <v>45</v>
      </c>
      <c r="E176" s="13" t="s">
        <v>46</v>
      </c>
      <c r="F176" s="12" t="s">
        <v>8</v>
      </c>
      <c r="G176" s="12" t="s">
        <v>56</v>
      </c>
      <c r="H176" s="12" t="s">
        <v>723</v>
      </c>
      <c r="I176" s="14" t="s">
        <v>4</v>
      </c>
      <c r="J176" s="12" t="s">
        <v>724</v>
      </c>
      <c r="K176" s="12"/>
      <c r="L176" s="15" t="s">
        <v>10</v>
      </c>
      <c r="M176" s="16"/>
      <c r="N176" s="17" t="str">
        <f aca="false">IF(M176="","",M176+4)</f>
        <v/>
      </c>
      <c r="O176" s="15"/>
      <c r="P176" s="18" t="str">
        <f aca="false">SUBSTITUTE(SUBSTITUTE(IF(I176="A",Μηνύματα!$B$7,Μηνύματα!$B$8),"{ΚΑΤΑΣΤΗΜΑ}",B176),"{ΟΝΟΜΑ}",Μηνύματα!$B$4)</f>
        <v>Γεια σας! 👋 Είμαι ο/η [Το όνομά σου] από την Anbit (anbit.gr). Είδαμε το The PUB Thessaloniki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7" customFormat="false" ht="90.25" hidden="false" customHeight="false" outlineLevel="0" collapsed="false">
      <c r="A177" s="12" t="n">
        <v>173</v>
      </c>
      <c r="B177" s="12" t="s">
        <v>725</v>
      </c>
      <c r="C177" s="12" t="s">
        <v>726</v>
      </c>
      <c r="D177" s="13" t="s">
        <v>45</v>
      </c>
      <c r="E177" s="13" t="s">
        <v>46</v>
      </c>
      <c r="F177" s="12" t="s">
        <v>8</v>
      </c>
      <c r="G177" s="12"/>
      <c r="H177" s="12" t="s">
        <v>727</v>
      </c>
      <c r="I177" s="14" t="s">
        <v>4</v>
      </c>
      <c r="J177" s="12"/>
      <c r="K177" s="19" t="s">
        <v>105</v>
      </c>
      <c r="L177" s="15" t="s">
        <v>10</v>
      </c>
      <c r="M177" s="16"/>
      <c r="N177" s="17" t="str">
        <f aca="false">IF(M177="","",M177+4)</f>
        <v/>
      </c>
      <c r="O177" s="15"/>
      <c r="P177" s="18" t="str">
        <f aca="false">SUBSTITUTE(SUBSTITUTE(IF(I177="A",Μηνύματα!$B$7,Μηνύματα!$B$8),"{ΚΑΤΑΣΤΗΜΑ}",B177),"{ΟΝΟΜΑ}",Μηνύματα!$B$4)</f>
        <v>Γεια σας! 👋 Είμαι ο/η [Το όνομά σου] από την Anbit (anbit.gr). Είδαμε το Utopia Taproom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8" customFormat="false" ht="90.25" hidden="false" customHeight="false" outlineLevel="0" collapsed="false">
      <c r="A178" s="12" t="n">
        <v>174</v>
      </c>
      <c r="B178" s="12" t="s">
        <v>728</v>
      </c>
      <c r="C178" s="12" t="s">
        <v>729</v>
      </c>
      <c r="D178" s="13" t="s">
        <v>45</v>
      </c>
      <c r="E178" s="13" t="s">
        <v>46</v>
      </c>
      <c r="F178" s="12" t="s">
        <v>8</v>
      </c>
      <c r="G178" s="12" t="s">
        <v>730</v>
      </c>
      <c r="H178" s="12" t="s">
        <v>370</v>
      </c>
      <c r="I178" s="14" t="s">
        <v>4</v>
      </c>
      <c r="J178" s="12" t="s">
        <v>731</v>
      </c>
      <c r="K178" s="12"/>
      <c r="L178" s="15" t="s">
        <v>10</v>
      </c>
      <c r="M178" s="16"/>
      <c r="N178" s="17" t="str">
        <f aca="false">IF(M178="","",M178+4)</f>
        <v/>
      </c>
      <c r="O178" s="15"/>
      <c r="P178" s="18" t="str">
        <f aca="false">SUBSTITUTE(SUBSTITUTE(IF(I178="A",Μηνύματα!$B$7,Μηνύματα!$B$8),"{ΚΑΤΑΣΤΗΜΑ}",B178),"{ΟΝΟΜΑ}",Μηνύματα!$B$4)</f>
        <v>Γεια σας! 👋 Είμαι ο/η [Το όνομά σου] από την Anbit (anbit.gr). Είδαμε το Zeme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79" customFormat="false" ht="90.25" hidden="false" customHeight="false" outlineLevel="0" collapsed="false">
      <c r="A179" s="12" t="n">
        <v>175</v>
      </c>
      <c r="B179" s="12" t="s">
        <v>732</v>
      </c>
      <c r="C179" s="12" t="s">
        <v>733</v>
      </c>
      <c r="D179" s="13" t="s">
        <v>45</v>
      </c>
      <c r="E179" s="13" t="s">
        <v>46</v>
      </c>
      <c r="F179" s="12" t="s">
        <v>8</v>
      </c>
      <c r="G179" s="12" t="s">
        <v>734</v>
      </c>
      <c r="H179" s="12" t="s">
        <v>685</v>
      </c>
      <c r="I179" s="14" t="s">
        <v>4</v>
      </c>
      <c r="J179" s="12"/>
      <c r="K179" s="12"/>
      <c r="L179" s="15" t="s">
        <v>10</v>
      </c>
      <c r="M179" s="16"/>
      <c r="N179" s="17" t="str">
        <f aca="false">IF(M179="","",M179+4)</f>
        <v/>
      </c>
      <c r="O179" s="15"/>
      <c r="P179" s="18" t="str">
        <f aca="false">SUBSTITUTE(SUBSTITUTE(IF(I179="A",Μηνύματα!$B$7,Μηνύματα!$B$8),"{ΚΑΤΑΣΤΗΜΑ}",B179),"{ΟΝΟΜΑ}",Μηνύματα!$B$4)</f>
        <v>Γεια σας! 👋 Είμαι ο/η [Το όνομά σου] από την Anbit (anbit.gr). Είδαμε το Άδυτο Rock Bar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0" customFormat="false" ht="90.25" hidden="false" customHeight="false" outlineLevel="0" collapsed="false">
      <c r="A180" s="12" t="n">
        <v>176</v>
      </c>
      <c r="B180" s="12" t="s">
        <v>735</v>
      </c>
      <c r="C180" s="12" t="s">
        <v>736</v>
      </c>
      <c r="D180" s="13" t="s">
        <v>45</v>
      </c>
      <c r="E180" s="13" t="s">
        <v>46</v>
      </c>
      <c r="F180" s="12" t="s">
        <v>8</v>
      </c>
      <c r="G180" s="12" t="s">
        <v>737</v>
      </c>
      <c r="H180" s="12" t="s">
        <v>738</v>
      </c>
      <c r="I180" s="14" t="s">
        <v>4</v>
      </c>
      <c r="J180" s="12"/>
      <c r="K180" s="12"/>
      <c r="L180" s="15" t="s">
        <v>10</v>
      </c>
      <c r="M180" s="16"/>
      <c r="N180" s="17" t="str">
        <f aca="false">IF(M180="","",M180+4)</f>
        <v/>
      </c>
      <c r="O180" s="15"/>
      <c r="P180" s="18" t="str">
        <f aca="false">SUBSTITUTE(SUBSTITUTE(IF(I180="A",Μηνύματα!$B$7,Μηνύματα!$B$8),"{ΚΑΤΑΣΤΗΜΑ}",B180),"{ΟΝΟΜΑ}",Μηνύματα!$B$4)</f>
        <v>Γεια σας! 👋 Είμαι ο/η [Το όνομά σου] από την Anbit (anbit.gr). Είδαμε το Βογατσικού 3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1" customFormat="false" ht="90.25" hidden="false" customHeight="false" outlineLevel="0" collapsed="false">
      <c r="A181" s="12" t="n">
        <v>177</v>
      </c>
      <c r="B181" s="12" t="s">
        <v>739</v>
      </c>
      <c r="C181" s="12" t="s">
        <v>740</v>
      </c>
      <c r="D181" s="13" t="s">
        <v>45</v>
      </c>
      <c r="E181" s="13" t="s">
        <v>46</v>
      </c>
      <c r="F181" s="12" t="s">
        <v>8</v>
      </c>
      <c r="G181" s="12" t="s">
        <v>741</v>
      </c>
      <c r="H181" s="12" t="s">
        <v>739</v>
      </c>
      <c r="I181" s="14" t="s">
        <v>4</v>
      </c>
      <c r="J181" s="12" t="s">
        <v>742</v>
      </c>
      <c r="K181" s="19" t="s">
        <v>105</v>
      </c>
      <c r="L181" s="15" t="s">
        <v>10</v>
      </c>
      <c r="M181" s="16"/>
      <c r="N181" s="17" t="str">
        <f aca="false">IF(M181="","",M181+4)</f>
        <v/>
      </c>
      <c r="O181" s="15"/>
      <c r="P181" s="18" t="str">
        <f aca="false">SUBSTITUTE(SUBSTITUTE(IF(I181="A",Μηνύματα!$B$7,Μηνύματα!$B$8),"{ΚΑΤΑΣΤΗΜΑ}",B181),"{ΟΝΟΜΑ}",Μηνύματα!$B$4)</f>
        <v>Γεια σας! 👋 Είμαι ο/η [Το όνομά σου] από την Anbit (anbit.gr). Είδαμε το Γυράδικο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2" customFormat="false" ht="90.25" hidden="false" customHeight="false" outlineLevel="0" collapsed="false">
      <c r="A182" s="12" t="n">
        <v>178</v>
      </c>
      <c r="B182" s="12" t="s">
        <v>743</v>
      </c>
      <c r="C182" s="12" t="s">
        <v>744</v>
      </c>
      <c r="D182" s="13" t="s">
        <v>45</v>
      </c>
      <c r="E182" s="13" t="s">
        <v>46</v>
      </c>
      <c r="F182" s="12" t="s">
        <v>8</v>
      </c>
      <c r="G182" s="12" t="s">
        <v>734</v>
      </c>
      <c r="H182" s="12" t="s">
        <v>327</v>
      </c>
      <c r="I182" s="14" t="s">
        <v>4</v>
      </c>
      <c r="J182" s="12"/>
      <c r="K182" s="12"/>
      <c r="L182" s="15" t="s">
        <v>10</v>
      </c>
      <c r="M182" s="16"/>
      <c r="N182" s="17" t="str">
        <f aca="false">IF(M182="","",M182+4)</f>
        <v/>
      </c>
      <c r="O182" s="15"/>
      <c r="P182" s="18" t="str">
        <f aca="false">SUBSTITUTE(SUBSTITUTE(IF(I182="A",Μηνύματα!$B$7,Μηνύματα!$B$8),"{ΚΑΤΑΣΤΗΜΑ}",B182),"{ΟΝΟΜΑ}",Μηνύματα!$B$4)</f>
        <v>Γεια σας! 👋 Είμαι ο/η [Το όνομά σου] από την Anbit (anbit.gr). Είδαμε το Γύρω gyro στα Λαδάδικα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3" customFormat="false" ht="90.25" hidden="false" customHeight="false" outlineLevel="0" collapsed="false">
      <c r="A183" s="12" t="n">
        <v>179</v>
      </c>
      <c r="B183" s="12" t="s">
        <v>745</v>
      </c>
      <c r="C183" s="12" t="s">
        <v>746</v>
      </c>
      <c r="D183" s="13" t="s">
        <v>45</v>
      </c>
      <c r="E183" s="13" t="s">
        <v>46</v>
      </c>
      <c r="F183" s="12" t="s">
        <v>8</v>
      </c>
      <c r="G183" s="12" t="s">
        <v>747</v>
      </c>
      <c r="H183" s="12" t="s">
        <v>748</v>
      </c>
      <c r="I183" s="14" t="s">
        <v>4</v>
      </c>
      <c r="J183" s="12"/>
      <c r="K183" s="12"/>
      <c r="L183" s="15" t="s">
        <v>10</v>
      </c>
      <c r="M183" s="16"/>
      <c r="N183" s="17" t="str">
        <f aca="false">IF(M183="","",M183+4)</f>
        <v/>
      </c>
      <c r="O183" s="15"/>
      <c r="P183" s="18" t="str">
        <f aca="false">SUBSTITUTE(SUBSTITUTE(IF(I183="A",Μηνύματα!$B$7,Μηνύματα!$B$8),"{ΚΑΤΑΣΤΗΜΑ}",B183),"{ΟΝΟΜΑ}",Μηνύματα!$B$4)</f>
        <v>Γεια σας! 👋 Είμαι ο/η [Το όνομά σου] από την Anbit (anbit.gr). Είδαμε το Εσπεράντο – Διεθνές Αργοφαγείο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4" customFormat="false" ht="90.25" hidden="false" customHeight="false" outlineLevel="0" collapsed="false">
      <c r="A184" s="12" t="n">
        <v>180</v>
      </c>
      <c r="B184" s="12" t="s">
        <v>749</v>
      </c>
      <c r="C184" s="12" t="s">
        <v>750</v>
      </c>
      <c r="D184" s="13" t="s">
        <v>45</v>
      </c>
      <c r="E184" s="13" t="s">
        <v>46</v>
      </c>
      <c r="F184" s="12" t="s">
        <v>8</v>
      </c>
      <c r="G184" s="12" t="s">
        <v>56</v>
      </c>
      <c r="H184" s="12" t="s">
        <v>751</v>
      </c>
      <c r="I184" s="14" t="s">
        <v>4</v>
      </c>
      <c r="J184" s="12" t="s">
        <v>752</v>
      </c>
      <c r="K184" s="12"/>
      <c r="L184" s="15" t="s">
        <v>10</v>
      </c>
      <c r="M184" s="16"/>
      <c r="N184" s="17" t="str">
        <f aca="false">IF(M184="","",M184+4)</f>
        <v/>
      </c>
      <c r="O184" s="15"/>
      <c r="P184" s="18" t="str">
        <f aca="false">SUBSTITUTE(SUBSTITUTE(IF(I184="A",Μηνύματα!$B$7,Μηνύματα!$B$8),"{ΚΑΤΑΣΤΗΜΑ}",B184),"{ΟΝΟΜΑ}",Μηνύματα!$B$4)</f>
        <v>Γεια σας! 👋 Είμαι ο/η [Το όνομά σου] από την Anbit (anbit.gr). Είδαμε το Η Νέα Φωλιά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5" customFormat="false" ht="90.25" hidden="false" customHeight="false" outlineLevel="0" collapsed="false">
      <c r="A185" s="12" t="n">
        <v>181</v>
      </c>
      <c r="B185" s="12" t="s">
        <v>753</v>
      </c>
      <c r="C185" s="12" t="s">
        <v>754</v>
      </c>
      <c r="D185" s="13" t="s">
        <v>45</v>
      </c>
      <c r="E185" s="13" t="s">
        <v>46</v>
      </c>
      <c r="F185" s="12" t="s">
        <v>8</v>
      </c>
      <c r="G185" s="12" t="s">
        <v>755</v>
      </c>
      <c r="H185" s="12" t="s">
        <v>756</v>
      </c>
      <c r="I185" s="14" t="s">
        <v>4</v>
      </c>
      <c r="J185" s="12" t="s">
        <v>757</v>
      </c>
      <c r="K185" s="12"/>
      <c r="L185" s="15" t="s">
        <v>10</v>
      </c>
      <c r="M185" s="16"/>
      <c r="N185" s="17" t="str">
        <f aca="false">IF(M185="","",M185+4)</f>
        <v/>
      </c>
      <c r="O185" s="15"/>
      <c r="P185" s="18" t="str">
        <f aca="false">SUBSTITUTE(SUBSTITUTE(IF(I185="A",Μηνύματα!$B$7,Μηνύματα!$B$8),"{ΚΑΤΑΣΤΗΜΑ}",B185),"{ΟΝΟΜΑ}",Μηνύματα!$B$4)</f>
        <v>Γεια σας! 👋 Είμαι ο/η [Το όνομά σου] από την Anbit (anbit.gr). Είδαμε το Ιβίσκος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6" customFormat="false" ht="90.25" hidden="false" customHeight="false" outlineLevel="0" collapsed="false">
      <c r="A186" s="12" t="n">
        <v>182</v>
      </c>
      <c r="B186" s="12" t="s">
        <v>758</v>
      </c>
      <c r="C186" s="12" t="s">
        <v>759</v>
      </c>
      <c r="D186" s="13" t="s">
        <v>45</v>
      </c>
      <c r="E186" s="13" t="s">
        <v>46</v>
      </c>
      <c r="F186" s="12" t="s">
        <v>8</v>
      </c>
      <c r="G186" s="12"/>
      <c r="H186" s="12" t="s">
        <v>310</v>
      </c>
      <c r="I186" s="14" t="s">
        <v>4</v>
      </c>
      <c r="J186" s="12"/>
      <c r="K186" s="19" t="s">
        <v>105</v>
      </c>
      <c r="L186" s="15" t="s">
        <v>10</v>
      </c>
      <c r="M186" s="16"/>
      <c r="N186" s="17" t="str">
        <f aca="false">IF(M186="","",M186+4)</f>
        <v/>
      </c>
      <c r="O186" s="15"/>
      <c r="P186" s="18" t="str">
        <f aca="false">SUBSTITUTE(SUBSTITUTE(IF(I186="A",Μηνύματα!$B$7,Μηνύματα!$B$8),"{ΚΑΤΑΣΤΗΜΑ}",B186),"{ΟΝΟΜΑ}",Μηνύματα!$B$4)</f>
        <v>Γεια σας! 👋 Είμαι ο/η [Το όνομά σου] από την Anbit (anbit.gr). Είδαμε το Ιπποπόταμος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7" customFormat="false" ht="90.25" hidden="false" customHeight="false" outlineLevel="0" collapsed="false">
      <c r="A187" s="12" t="n">
        <v>183</v>
      </c>
      <c r="B187" s="12" t="s">
        <v>760</v>
      </c>
      <c r="C187" s="12" t="s">
        <v>761</v>
      </c>
      <c r="D187" s="13" t="s">
        <v>45</v>
      </c>
      <c r="E187" s="13" t="s">
        <v>46</v>
      </c>
      <c r="F187" s="12" t="s">
        <v>8</v>
      </c>
      <c r="G187" s="12" t="s">
        <v>762</v>
      </c>
      <c r="H187" s="12" t="s">
        <v>763</v>
      </c>
      <c r="I187" s="14" t="s">
        <v>4</v>
      </c>
      <c r="J187" s="12"/>
      <c r="K187" s="12"/>
      <c r="L187" s="15" t="s">
        <v>10</v>
      </c>
      <c r="M187" s="16"/>
      <c r="N187" s="17" t="str">
        <f aca="false">IF(M187="","",M187+4)</f>
        <v/>
      </c>
      <c r="O187" s="15"/>
      <c r="P187" s="18" t="str">
        <f aca="false">SUBSTITUTE(SUBSTITUTE(IF(I187="A",Μηνύματα!$B$7,Μηνύματα!$B$8),"{ΚΑΤΑΣΤΗΜΑ}",B187),"{ΟΝΟΜΑ}",Μηνύματα!$B$4)</f>
        <v>Γεια σας! 👋 Είμαι ο/η [Το όνομά σου] από την Anbit (anbit.gr). Είδαμε το Καντούνι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8" customFormat="false" ht="90.25" hidden="false" customHeight="false" outlineLevel="0" collapsed="false">
      <c r="A188" s="12" t="n">
        <v>184</v>
      </c>
      <c r="B188" s="12" t="s">
        <v>764</v>
      </c>
      <c r="C188" s="12" t="s">
        <v>765</v>
      </c>
      <c r="D188" s="13" t="s">
        <v>45</v>
      </c>
      <c r="E188" s="13" t="s">
        <v>46</v>
      </c>
      <c r="F188" s="12" t="s">
        <v>8</v>
      </c>
      <c r="G188" s="12" t="s">
        <v>766</v>
      </c>
      <c r="H188" s="12" t="s">
        <v>343</v>
      </c>
      <c r="I188" s="14" t="s">
        <v>4</v>
      </c>
      <c r="J188" s="12" t="s">
        <v>767</v>
      </c>
      <c r="K188" s="12"/>
      <c r="L188" s="15" t="s">
        <v>10</v>
      </c>
      <c r="M188" s="16"/>
      <c r="N188" s="17" t="str">
        <f aca="false">IF(M188="","",M188+4)</f>
        <v/>
      </c>
      <c r="O188" s="15"/>
      <c r="P188" s="18" t="str">
        <f aca="false">SUBSTITUTE(SUBSTITUTE(IF(I188="A",Μηνύματα!$B$7,Μηνύματα!$B$8),"{ΚΑΤΑΣΤΗΜΑ}",B188),"{ΟΝΟΜΑ}",Μηνύματα!$B$4)</f>
        <v>Γεια σας! 👋 Είμαι ο/η [Το όνομά σου] από την Anbit (anbit.gr). Είδαμε το Μίμης Σουβλάκια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89" customFormat="false" ht="90.25" hidden="false" customHeight="false" outlineLevel="0" collapsed="false">
      <c r="A189" s="12" t="n">
        <v>185</v>
      </c>
      <c r="B189" s="12" t="s">
        <v>768</v>
      </c>
      <c r="C189" s="12" t="s">
        <v>769</v>
      </c>
      <c r="D189" s="13" t="s">
        <v>45</v>
      </c>
      <c r="E189" s="13" t="s">
        <v>46</v>
      </c>
      <c r="F189" s="12" t="s">
        <v>8</v>
      </c>
      <c r="G189" s="12" t="s">
        <v>770</v>
      </c>
      <c r="H189" s="12" t="s">
        <v>771</v>
      </c>
      <c r="I189" s="14" t="s">
        <v>4</v>
      </c>
      <c r="J189" s="12"/>
      <c r="K189" s="12"/>
      <c r="L189" s="15" t="s">
        <v>10</v>
      </c>
      <c r="M189" s="16"/>
      <c r="N189" s="17" t="str">
        <f aca="false">IF(M189="","",M189+4)</f>
        <v/>
      </c>
      <c r="O189" s="15"/>
      <c r="P189" s="18" t="str">
        <f aca="false">SUBSTITUTE(SUBSTITUTE(IF(I189="A",Μηνύματα!$B$7,Μηνύματα!$B$8),"{ΚΑΤΑΣΤΗΜΑ}",B189),"{ΟΝΟΜΑ}",Μηνύματα!$B$4)</f>
        <v>Γεια σας! 👋 Είμαι ο/η [Το όνομά σου] από την Anbit (anbit.gr). Είδαμε το Μεζεδάκι Μπαρ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0" customFormat="false" ht="90.25" hidden="false" customHeight="false" outlineLevel="0" collapsed="false">
      <c r="A190" s="12" t="n">
        <v>186</v>
      </c>
      <c r="B190" s="12" t="s">
        <v>772</v>
      </c>
      <c r="C190" s="12" t="s">
        <v>773</v>
      </c>
      <c r="D190" s="13" t="s">
        <v>45</v>
      </c>
      <c r="E190" s="13" t="s">
        <v>46</v>
      </c>
      <c r="F190" s="12" t="s">
        <v>8</v>
      </c>
      <c r="G190" s="12" t="s">
        <v>734</v>
      </c>
      <c r="H190" s="12" t="s">
        <v>379</v>
      </c>
      <c r="I190" s="14" t="s">
        <v>4</v>
      </c>
      <c r="J190" s="12"/>
      <c r="K190" s="12"/>
      <c r="L190" s="15" t="s">
        <v>10</v>
      </c>
      <c r="M190" s="16"/>
      <c r="N190" s="17" t="str">
        <f aca="false">IF(M190="","",M190+4)</f>
        <v/>
      </c>
      <c r="O190" s="15"/>
      <c r="P190" s="18" t="str">
        <f aca="false">SUBSTITUTE(SUBSTITUTE(IF(I190="A",Μηνύματα!$B$7,Μηνύματα!$B$8),"{ΚΑΤΑΣΤΗΜΑ}",B190),"{ΟΝΟΜΑ}",Μηνύματα!$B$4)</f>
        <v>Γεια σας! 👋 Είμαι ο/η [Το όνομά σου] από την Anbit (anbit.gr). Είδαμε το Μεζεδοπωλείο Σουρτούκω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1" customFormat="false" ht="90.25" hidden="false" customHeight="false" outlineLevel="0" collapsed="false">
      <c r="A191" s="12" t="n">
        <v>187</v>
      </c>
      <c r="B191" s="12" t="s">
        <v>774</v>
      </c>
      <c r="C191" s="12" t="s">
        <v>775</v>
      </c>
      <c r="D191" s="13" t="s">
        <v>45</v>
      </c>
      <c r="E191" s="13" t="s">
        <v>46</v>
      </c>
      <c r="F191" s="12" t="s">
        <v>8</v>
      </c>
      <c r="G191" s="12" t="s">
        <v>56</v>
      </c>
      <c r="H191" s="12" t="s">
        <v>776</v>
      </c>
      <c r="I191" s="14" t="s">
        <v>4</v>
      </c>
      <c r="J191" s="12" t="s">
        <v>777</v>
      </c>
      <c r="K191" s="12"/>
      <c r="L191" s="15" t="s">
        <v>10</v>
      </c>
      <c r="M191" s="16"/>
      <c r="N191" s="17" t="str">
        <f aca="false">IF(M191="","",M191+4)</f>
        <v/>
      </c>
      <c r="O191" s="15"/>
      <c r="P191" s="18" t="str">
        <f aca="false">SUBSTITUTE(SUBSTITUTE(IF(I191="A",Μηνύματα!$B$7,Μηνύματα!$B$8),"{ΚΑΤΑΣΤΗΜΑ}",B191),"{ΟΝΟΜΑ}",Μηνύματα!$B$4)</f>
        <v>Γεια σας! 👋 Είμαι ο/η [Το όνομά σου] από την Anbit (anbit.gr). Είδαμε το Μονμάρτη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2" customFormat="false" ht="90.25" hidden="false" customHeight="false" outlineLevel="0" collapsed="false">
      <c r="A192" s="12" t="n">
        <v>188</v>
      </c>
      <c r="B192" s="12" t="s">
        <v>778</v>
      </c>
      <c r="C192" s="12" t="s">
        <v>779</v>
      </c>
      <c r="D192" s="13" t="s">
        <v>45</v>
      </c>
      <c r="E192" s="13" t="s">
        <v>46</v>
      </c>
      <c r="F192" s="12" t="s">
        <v>8</v>
      </c>
      <c r="G192" s="12" t="s">
        <v>780</v>
      </c>
      <c r="H192" s="12" t="s">
        <v>343</v>
      </c>
      <c r="I192" s="14" t="s">
        <v>4</v>
      </c>
      <c r="J192" s="12" t="s">
        <v>781</v>
      </c>
      <c r="K192" s="12"/>
      <c r="L192" s="15" t="s">
        <v>10</v>
      </c>
      <c r="M192" s="16"/>
      <c r="N192" s="17" t="str">
        <f aca="false">IF(M192="","",M192+4)</f>
        <v/>
      </c>
      <c r="O192" s="15"/>
      <c r="P192" s="18" t="str">
        <f aca="false">SUBSTITUTE(SUBSTITUTE(IF(I192="A",Μηνύματα!$B$7,Μηνύματα!$B$8),"{ΚΑΤΑΣΤΗΜΑ}",B192),"{ΟΝΟΜΑ}",Μηνύματα!$B$4)</f>
        <v>Γεια σας! 👋 Είμαι ο/η [Το όνομά σου] από την Anbit (anbit.gr). Είδαμε το Ντερλικατέσεν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3" customFormat="false" ht="90.25" hidden="false" customHeight="false" outlineLevel="0" collapsed="false">
      <c r="A193" s="12" t="n">
        <v>189</v>
      </c>
      <c r="B193" s="12" t="s">
        <v>782</v>
      </c>
      <c r="C193" s="12" t="s">
        <v>783</v>
      </c>
      <c r="D193" s="13" t="s">
        <v>45</v>
      </c>
      <c r="E193" s="13" t="s">
        <v>46</v>
      </c>
      <c r="F193" s="12" t="s">
        <v>8</v>
      </c>
      <c r="G193" s="12" t="s">
        <v>784</v>
      </c>
      <c r="H193" s="12" t="s">
        <v>785</v>
      </c>
      <c r="I193" s="14" t="s">
        <v>4</v>
      </c>
      <c r="J193" s="12" t="s">
        <v>786</v>
      </c>
      <c r="K193" s="12"/>
      <c r="L193" s="15" t="s">
        <v>10</v>
      </c>
      <c r="M193" s="16"/>
      <c r="N193" s="17" t="str">
        <f aca="false">IF(M193="","",M193+4)</f>
        <v/>
      </c>
      <c r="O193" s="15"/>
      <c r="P193" s="18" t="str">
        <f aca="false">SUBSTITUTE(SUBSTITUTE(IF(I193="A",Μηνύματα!$B$7,Μηνύματα!$B$8),"{ΚΑΤΑΣΤΗΜΑ}",B193),"{ΟΝΟΜΑ}",Μηνύματα!$B$4)</f>
        <v>Γεια σας! 👋 Είμαι ο/η [Το όνομά σου] από την Anbit (anbit.gr). Είδαμε το Πιτσαρία Νεάπολη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4" customFormat="false" ht="90.25" hidden="false" customHeight="false" outlineLevel="0" collapsed="false">
      <c r="A194" s="12" t="n">
        <v>190</v>
      </c>
      <c r="B194" s="12" t="s">
        <v>787</v>
      </c>
      <c r="C194" s="12" t="s">
        <v>788</v>
      </c>
      <c r="D194" s="13" t="s">
        <v>45</v>
      </c>
      <c r="E194" s="13" t="s">
        <v>46</v>
      </c>
      <c r="F194" s="12" t="s">
        <v>8</v>
      </c>
      <c r="G194" s="12" t="s">
        <v>789</v>
      </c>
      <c r="H194" s="12" t="s">
        <v>790</v>
      </c>
      <c r="I194" s="14" t="s">
        <v>4</v>
      </c>
      <c r="J194" s="12"/>
      <c r="K194" s="12"/>
      <c r="L194" s="15" t="s">
        <v>10</v>
      </c>
      <c r="M194" s="16"/>
      <c r="N194" s="17" t="str">
        <f aca="false">IF(M194="","",M194+4)</f>
        <v/>
      </c>
      <c r="O194" s="15"/>
      <c r="P194" s="18" t="str">
        <f aca="false">SUBSTITUTE(SUBSTITUTE(IF(I194="A",Μηνύματα!$B$7,Μηνύματα!$B$8),"{ΚΑΤΑΣΤΗΜΑ}",B194),"{ΟΝΟΜΑ}",Μηνύματα!$B$4)</f>
        <v>Γεια σας! 👋 Είμαι ο/η [Το όνομά σου] από την Anbit (anbit.gr). Είδαμε το Τα Βλάχικα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5" customFormat="false" ht="90.25" hidden="false" customHeight="false" outlineLevel="0" collapsed="false">
      <c r="A195" s="12" t="n">
        <v>191</v>
      </c>
      <c r="B195" s="12" t="s">
        <v>791</v>
      </c>
      <c r="C195" s="12" t="s">
        <v>792</v>
      </c>
      <c r="D195" s="13" t="s">
        <v>45</v>
      </c>
      <c r="E195" s="13" t="s">
        <v>46</v>
      </c>
      <c r="F195" s="12" t="s">
        <v>8</v>
      </c>
      <c r="G195" s="12" t="s">
        <v>56</v>
      </c>
      <c r="H195" s="12" t="s">
        <v>793</v>
      </c>
      <c r="I195" s="14" t="s">
        <v>4</v>
      </c>
      <c r="J195" s="12"/>
      <c r="K195" s="12"/>
      <c r="L195" s="15" t="s">
        <v>10</v>
      </c>
      <c r="M195" s="16"/>
      <c r="N195" s="17" t="str">
        <f aca="false">IF(M195="","",M195+4)</f>
        <v/>
      </c>
      <c r="O195" s="15"/>
      <c r="P195" s="18" t="str">
        <f aca="false">SUBSTITUTE(SUBSTITUTE(IF(I195="A",Μηνύματα!$B$7,Μηνύματα!$B$8),"{ΚΑΤΑΣΤΗΜΑ}",B195),"{ΟΝΟΜΑ}",Μηνύματα!$B$4)</f>
        <v>Γεια σας! 👋 Είμαι ο/η [Το όνομά σου] από την Anbit (anbit.gr). Είδαμε το Το Δίχτυ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6" customFormat="false" ht="90.25" hidden="false" customHeight="false" outlineLevel="0" collapsed="false">
      <c r="A196" s="12" t="n">
        <v>192</v>
      </c>
      <c r="B196" s="12" t="s">
        <v>794</v>
      </c>
      <c r="C196" s="12" t="s">
        <v>795</v>
      </c>
      <c r="D196" s="13" t="s">
        <v>45</v>
      </c>
      <c r="E196" s="13" t="s">
        <v>46</v>
      </c>
      <c r="F196" s="12" t="s">
        <v>8</v>
      </c>
      <c r="G196" s="12" t="s">
        <v>796</v>
      </c>
      <c r="H196" s="12" t="s">
        <v>389</v>
      </c>
      <c r="I196" s="14" t="s">
        <v>4</v>
      </c>
      <c r="J196" s="12" t="s">
        <v>797</v>
      </c>
      <c r="K196" s="12"/>
      <c r="L196" s="15" t="s">
        <v>10</v>
      </c>
      <c r="M196" s="16"/>
      <c r="N196" s="17" t="str">
        <f aca="false">IF(M196="","",M196+4)</f>
        <v/>
      </c>
      <c r="O196" s="15"/>
      <c r="P196" s="18" t="str">
        <f aca="false">SUBSTITUTE(SUBSTITUTE(IF(I196="A",Μηνύματα!$B$7,Μηνύματα!$B$8),"{ΚΑΤΑΣΤΗΜΑ}",B196),"{ΟΝΟΜΑ}",Μηνύματα!$B$4)</f>
        <v>Γεια σας! 👋 Είμαι ο/η [Το όνομά σου] από την Anbit (anbit.gr). Είδαμε το Το Κουρμπέτι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7" customFormat="false" ht="90.25" hidden="false" customHeight="false" outlineLevel="0" collapsed="false">
      <c r="A197" s="12" t="n">
        <v>193</v>
      </c>
      <c r="B197" s="12" t="s">
        <v>798</v>
      </c>
      <c r="C197" s="12" t="s">
        <v>799</v>
      </c>
      <c r="D197" s="13" t="s">
        <v>45</v>
      </c>
      <c r="E197" s="13" t="s">
        <v>46</v>
      </c>
      <c r="F197" s="12" t="s">
        <v>8</v>
      </c>
      <c r="G197" s="12"/>
      <c r="H197" s="12" t="s">
        <v>310</v>
      </c>
      <c r="I197" s="14" t="s">
        <v>4</v>
      </c>
      <c r="J197" s="12"/>
      <c r="K197" s="19" t="s">
        <v>284</v>
      </c>
      <c r="L197" s="15" t="s">
        <v>10</v>
      </c>
      <c r="M197" s="16"/>
      <c r="N197" s="17" t="str">
        <f aca="false">IF(M197="","",M197+4)</f>
        <v/>
      </c>
      <c r="O197" s="15"/>
      <c r="P197" s="18" t="str">
        <f aca="false">SUBSTITUTE(SUBSTITUTE(IF(I197="A",Μηνύματα!$B$7,Μηνύματα!$B$8),"{ΚΑΤΑΣΤΗΜΑ}",B197),"{ΟΝΟΜΑ}",Μηνύματα!$B$4)</f>
        <v>Γεια σας! 👋 Είμαι ο/η [Το όνομά σου] από την Anbit (anbit.gr). Είδαμε το ΦÓLKI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8" customFormat="false" ht="90.25" hidden="false" customHeight="false" outlineLevel="0" collapsed="false">
      <c r="A198" s="12" t="n">
        <v>194</v>
      </c>
      <c r="B198" s="12" t="s">
        <v>800</v>
      </c>
      <c r="C198" s="12" t="s">
        <v>801</v>
      </c>
      <c r="D198" s="13" t="s">
        <v>45</v>
      </c>
      <c r="E198" s="13" t="s">
        <v>46</v>
      </c>
      <c r="F198" s="12" t="s">
        <v>8</v>
      </c>
      <c r="G198" s="12"/>
      <c r="H198" s="12" t="s">
        <v>379</v>
      </c>
      <c r="I198" s="14" t="s">
        <v>4</v>
      </c>
      <c r="J198" s="12" t="s">
        <v>802</v>
      </c>
      <c r="K198" s="19" t="s">
        <v>105</v>
      </c>
      <c r="L198" s="15" t="s">
        <v>10</v>
      </c>
      <c r="M198" s="16"/>
      <c r="N198" s="17" t="str">
        <f aca="false">IF(M198="","",M198+4)</f>
        <v/>
      </c>
      <c r="O198" s="15"/>
      <c r="P198" s="18" t="str">
        <f aca="false">SUBSTITUTE(SUBSTITUTE(IF(I198="A",Μηνύματα!$B$7,Μηνύματα!$B$8),"{ΚΑΤΑΣΤΗΜΑ}",B198),"{ΟΝΟΜΑ}",Μηνύματα!$B$4)</f>
        <v>Γεια σας! 👋 Είμαι ο/η [Το όνομά σου] από την Anbit (anbit.gr). Είδαμε το Φλισκούνι Μεζεδοπωλείο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199" customFormat="false" ht="90.25" hidden="false" customHeight="false" outlineLevel="0" collapsed="false">
      <c r="A199" s="12" t="n">
        <v>195</v>
      </c>
      <c r="B199" s="12" t="s">
        <v>803</v>
      </c>
      <c r="C199" s="12" t="s">
        <v>804</v>
      </c>
      <c r="D199" s="13" t="s">
        <v>45</v>
      </c>
      <c r="E199" s="13" t="s">
        <v>46</v>
      </c>
      <c r="F199" s="12" t="s">
        <v>8</v>
      </c>
      <c r="G199" s="12" t="s">
        <v>805</v>
      </c>
      <c r="H199" s="12" t="s">
        <v>739</v>
      </c>
      <c r="I199" s="14" t="s">
        <v>4</v>
      </c>
      <c r="J199" s="12" t="s">
        <v>806</v>
      </c>
      <c r="K199" s="12"/>
      <c r="L199" s="15" t="s">
        <v>10</v>
      </c>
      <c r="M199" s="16"/>
      <c r="N199" s="17" t="str">
        <f aca="false">IF(M199="","",M199+4)</f>
        <v/>
      </c>
      <c r="O199" s="15"/>
      <c r="P199" s="18" t="str">
        <f aca="false">SUBSTITUTE(SUBSTITUTE(IF(I199="A",Μηνύματα!$B$7,Μηνύματα!$B$8),"{ΚΑΤΑΣΤΗΜΑ}",B199),"{ΟΝΟΜΑ}",Μηνύματα!$B$4)</f>
        <v>Γεια σας! 👋 Είμαι ο/η [Το όνομά σου] από την Anbit (anbit.gr). Είδαμε το Χρήστος Γυράδικο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200" customFormat="false" ht="90.25" hidden="false" customHeight="false" outlineLevel="0" collapsed="false">
      <c r="A200" s="12" t="n">
        <v>196</v>
      </c>
      <c r="B200" s="12" t="s">
        <v>807</v>
      </c>
      <c r="C200" s="12" t="s">
        <v>808</v>
      </c>
      <c r="D200" s="13" t="s">
        <v>45</v>
      </c>
      <c r="E200" s="13" t="s">
        <v>46</v>
      </c>
      <c r="F200" s="12" t="s">
        <v>8</v>
      </c>
      <c r="G200" s="12" t="s">
        <v>734</v>
      </c>
      <c r="H200" s="12" t="s">
        <v>809</v>
      </c>
      <c r="I200" s="14" t="s">
        <v>4</v>
      </c>
      <c r="J200" s="12"/>
      <c r="K200" s="12"/>
      <c r="L200" s="15" t="s">
        <v>10</v>
      </c>
      <c r="M200" s="16"/>
      <c r="N200" s="17" t="str">
        <f aca="false">IF(M200="","",M200+4)</f>
        <v/>
      </c>
      <c r="O200" s="15"/>
      <c r="P200" s="18" t="str">
        <f aca="false">SUBSTITUTE(SUBSTITUTE(IF(I200="A",Μηνύματα!$B$7,Μηνύματα!$B$8),"{ΚΑΤΑΣΤΗΜΑ}",B200),"{ΟΝΟΜΑ}",Μηνύματα!$B$4)</f>
        <v>Γεια σας! 👋 Είμαι ο/η [Το όνομά σου] από την Anbit (anbit.gr). Είδαμε το Ψητοπωλείο Καλοφαγάς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201" customFormat="false" ht="90.25" hidden="false" customHeight="false" outlineLevel="0" collapsed="false">
      <c r="A201" s="12" t="n">
        <v>197</v>
      </c>
      <c r="B201" s="12" t="s">
        <v>810</v>
      </c>
      <c r="C201" s="12" t="s">
        <v>811</v>
      </c>
      <c r="D201" s="13" t="s">
        <v>45</v>
      </c>
      <c r="E201" s="13" t="s">
        <v>46</v>
      </c>
      <c r="F201" s="12" t="s">
        <v>8</v>
      </c>
      <c r="G201" s="12" t="s">
        <v>812</v>
      </c>
      <c r="H201" s="12" t="s">
        <v>813</v>
      </c>
      <c r="I201" s="14" t="s">
        <v>5</v>
      </c>
      <c r="J201" s="12" t="s">
        <v>456</v>
      </c>
      <c r="K201" s="12"/>
      <c r="L201" s="15" t="s">
        <v>10</v>
      </c>
      <c r="M201" s="16"/>
      <c r="N201" s="17" t="str">
        <f aca="false">IF(M201="","",M201+4)</f>
        <v/>
      </c>
      <c r="O201" s="15"/>
      <c r="P201" s="18" t="str">
        <f aca="false">SUBSTITUTE(SUBSTITUTE(IF(I201="A",Μηνύματα!$B$7,Μηνύματα!$B$8),"{ΚΑΤΑΣΤΗΜΑ}",B201),"{ΟΝΟΜΑ}",Μηνύματα!$B$4)</f>
        <v>Γεια σας! 👋 Είμαι ο/η [Το όνομά σου] από την Anbit (anbit.gr). Είδαμε το Βασίλης Ζαχαροπλαστεία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202" customFormat="false" ht="90.25" hidden="false" customHeight="false" outlineLevel="0" collapsed="false">
      <c r="A202" s="12" t="n">
        <v>198</v>
      </c>
      <c r="B202" s="12" t="s">
        <v>814</v>
      </c>
      <c r="C202" s="12" t="s">
        <v>815</v>
      </c>
      <c r="D202" s="13" t="s">
        <v>45</v>
      </c>
      <c r="E202" s="13" t="s">
        <v>46</v>
      </c>
      <c r="F202" s="12" t="s">
        <v>8</v>
      </c>
      <c r="G202" s="12" t="s">
        <v>816</v>
      </c>
      <c r="H202" s="12" t="s">
        <v>817</v>
      </c>
      <c r="I202" s="14" t="s">
        <v>5</v>
      </c>
      <c r="J202" s="12" t="s">
        <v>818</v>
      </c>
      <c r="K202" s="12"/>
      <c r="L202" s="15" t="s">
        <v>10</v>
      </c>
      <c r="M202" s="16"/>
      <c r="N202" s="17" t="str">
        <f aca="false">IF(M202="","",M202+4)</f>
        <v/>
      </c>
      <c r="O202" s="15"/>
      <c r="P202" s="18" t="str">
        <f aca="false">SUBSTITUTE(SUBSTITUTE(IF(I202="A",Μηνύματα!$B$7,Μηνύματα!$B$8),"{ΚΑΤΑΣΤΗΜΑ}",B202),"{ΟΝΟΜΑ}",Μηνύματα!$B$4)</f>
        <v>Γεια σας! 👋 Είμαι ο/η [Το όνομά σου] από την Anbit (anbit.gr). Είδαμε το Ζαχαροπλαστείο Σαράι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row r="203" customFormat="false" ht="90.25" hidden="false" customHeight="false" outlineLevel="0" collapsed="false">
      <c r="A203" s="12" t="n">
        <v>199</v>
      </c>
      <c r="B203" s="12" t="s">
        <v>819</v>
      </c>
      <c r="C203" s="12" t="s">
        <v>820</v>
      </c>
      <c r="D203" s="13" t="s">
        <v>45</v>
      </c>
      <c r="E203" s="13" t="s">
        <v>46</v>
      </c>
      <c r="F203" s="12" t="s">
        <v>8</v>
      </c>
      <c r="G203" s="12" t="s">
        <v>821</v>
      </c>
      <c r="H203" s="12" t="s">
        <v>822</v>
      </c>
      <c r="I203" s="14" t="s">
        <v>5</v>
      </c>
      <c r="J203" s="12"/>
      <c r="K203" s="12"/>
      <c r="L203" s="15" t="s">
        <v>10</v>
      </c>
      <c r="M203" s="16"/>
      <c r="N203" s="17" t="str">
        <f aca="false">IF(M203="","",M203+4)</f>
        <v/>
      </c>
      <c r="O203" s="15"/>
      <c r="P203" s="18" t="str">
        <f aca="false">SUBSTITUTE(SUBSTITUTE(IF(I203="A",Μηνύματα!$B$7,Μηνύματα!$B$8),"{ΚΑΤΑΣΤΗΜΑ}",B203),"{ΟΝΟΜΑ}",Μηνύματα!$B$4)</f>
        <v>Γεια σας! 👋 Είμαι ο/η [Το όνομά σου] από την Anbit (anbit.gr). Είδαμε το Τζένεραλ Ζαχαροπλαστείο και θα θέλαμε να σας προτείνουμε μια συνεργασία.
Με την Anbit ο πελάτης σκανάρει ένα QR στο τραπέζι, βλέπει το μενού με φωτογραφίες σε Ελληνικά/Αγγλικά και παραγγέλνει χωρίς εφαρμογή. Η παραγγελία έρχεται κατευθείαν σε εσάς με τον αριθμό τραπεζιού, οπότε το προσωπικό κερδίζει χρόνο τις ώρες αιχμής.
Επιπλέον ο πελάτης κερδίζει πόντους που εξαργυρώνει μόνο σε εσάς, οπότε έχει λόγο να επιστρέψει. Ίδιο POS, ίδια απόδειξη, 0% προμήθεια, και το στήνουμε εμείς σε 10 λεπτά. Σας προβάλλουμε επίσης δωρεάν στα social της Anbit.
Θα θέλατε να σας στείλουμε περισσότερα ή να περάσουμε για μια σύντομη παρουσίαση;</v>
      </c>
    </row>
  </sheetData>
  <autoFilter ref="A4:P203"/>
  <conditionalFormatting sqref="A5:P203">
    <cfRule type="expression" priority="2" aboveAverage="0" equalAverage="0" bottom="0" percent="0" rank="0" text="" dxfId="10">
      <formula>$L5="Ενδιαφέρεται"</formula>
    </cfRule>
    <cfRule type="expression" priority="3" aboveAverage="0" equalAverage="0" bottom="0" percent="0" rank="0" text="" dxfId="11">
      <formula>$L5="Ραντεβού / Demo"</formula>
    </cfRule>
    <cfRule type="expression" priority="4" aboveAverage="0" equalAverage="0" bottom="0" percent="0" rank="0" text="" dxfId="12">
      <formula>$L5="Συνεργάτης"</formula>
    </cfRule>
    <cfRule type="expression" priority="5" aboveAverage="0" equalAverage="0" bottom="0" percent="0" rank="0" text="" dxfId="13">
      <formula>$L5="Δεν ενδιαφέρεται"</formula>
    </cfRule>
    <cfRule type="expression" priority="6" aboveAverage="0" equalAverage="0" bottom="0" percent="0" rank="0" text="" dxfId="14">
      <formula>$L5="Στάλθηκε"</formula>
    </cfRule>
    <cfRule type="expression" priority="7" aboveAverage="0" equalAverage="0" bottom="0" percent="0" rank="0" text="" dxfId="15">
      <formula>$L5="Follow-up στάλθηκε"</formula>
    </cfRule>
  </conditionalFormatting>
  <conditionalFormatting sqref="I5:I203">
    <cfRule type="expression" priority="8" aboveAverage="0" equalAverage="0" bottom="0" percent="0" rank="0" text="" dxfId="10">
      <formula>$I5="A"</formula>
    </cfRule>
    <cfRule type="expression" priority="9" aboveAverage="0" equalAverage="0" bottom="0" percent="0" rank="0" text="" dxfId="16">
      <formula>$I5="B"</formula>
    </cfRule>
    <cfRule type="expression" priority="10" aboveAverage="0" equalAverage="0" bottom="0" percent="0" rank="0" text="" dxfId="17">
      <formula>$I5="C"</formula>
    </cfRule>
  </conditionalFormatting>
  <dataValidations count="3">
    <dataValidation allowBlank="true" errorStyle="stop" operator="between" showDropDown="false" showErrorMessage="false" showInputMessage="false" sqref="L5:L203" type="list">
      <formula1>"Δεν στάλθηκε,Στάλθηκε,Follow-up στάλθηκε,Ενδιαφέρεται,Ραντεβού / Demo,Συνεργάτης,Δεν ενδιαφέρεται,Δεν απάντησε"</formula1>
      <formula2>0</formula2>
    </dataValidation>
    <dataValidation allowBlank="false" errorStyle="stop" operator="between" showDropDown="false" showErrorMessage="false" showInputMessage="false" sqref="I5:I203" type="list">
      <formula1>"A,B,C"</formula1>
      <formula2>0</formula2>
    </dataValidation>
    <dataValidation allowBlank="true" errorStyle="stop" operator="greaterThan" showDropDown="false" showErrorMessage="false" showInputMessage="false" sqref="M5:M203" type="date">
      <formula1>45000</formula1>
      <formula2>0</formula2>
    </dataValidation>
  </dataValidations>
  <hyperlinks>
    <hyperlink ref="D5" r:id="rId1" display="Άνοιγμα"/>
    <hyperlink ref="E5" r:id="rId2" display="Μήνυμα"/>
    <hyperlink ref="D6" r:id="rId3" display="Άνοιγμα"/>
    <hyperlink ref="E6" r:id="rId4" display="Μήνυμα"/>
    <hyperlink ref="D7" r:id="rId5" display="Άνοιγμα"/>
    <hyperlink ref="E7" r:id="rId6" display="Μήνυμα"/>
    <hyperlink ref="D8" r:id="rId7" display="Άνοιγμα"/>
    <hyperlink ref="E8" r:id="rId8" display="Μήνυμα"/>
    <hyperlink ref="D9" r:id="rId9" display="Άνοιγμα"/>
    <hyperlink ref="E9" r:id="rId10" display="Μήνυμα"/>
    <hyperlink ref="D10" r:id="rId11" display="Άνοιγμα"/>
    <hyperlink ref="E10" r:id="rId12" display="Μήνυμα"/>
    <hyperlink ref="D11" r:id="rId13" display="Άνοιγμα"/>
    <hyperlink ref="E11" r:id="rId14" display="Μήνυμα"/>
    <hyperlink ref="D12" r:id="rId15" display="Άνοιγμα"/>
    <hyperlink ref="E12" r:id="rId16" display="Μήνυμα"/>
    <hyperlink ref="D13" r:id="rId17" display="Άνοιγμα"/>
    <hyperlink ref="E13" r:id="rId18" display="Μήνυμα"/>
    <hyperlink ref="D14" r:id="rId19" display="Άνοιγμα"/>
    <hyperlink ref="E14" r:id="rId20" display="Μήνυμα"/>
    <hyperlink ref="D15" r:id="rId21" display="Άνοιγμα"/>
    <hyperlink ref="E15" r:id="rId22" display="Μήνυμα"/>
    <hyperlink ref="D16" r:id="rId23" display="Άνοιγμα"/>
    <hyperlink ref="E16" r:id="rId24" display="Μήνυμα"/>
    <hyperlink ref="D17" r:id="rId25" display="Άνοιγμα"/>
    <hyperlink ref="E17" r:id="rId26" display="Μήνυμα"/>
    <hyperlink ref="D18" r:id="rId27" display="Άνοιγμα"/>
    <hyperlink ref="E18" r:id="rId28" display="Μήνυμα"/>
    <hyperlink ref="D19" r:id="rId29" display="Άνοιγμα"/>
    <hyperlink ref="E19" r:id="rId30" display="Μήνυμα"/>
    <hyperlink ref="D20" r:id="rId31" display="Άνοιγμα"/>
    <hyperlink ref="E20" r:id="rId32" display="Μήνυμα"/>
    <hyperlink ref="D21" r:id="rId33" display="Άνοιγμα"/>
    <hyperlink ref="E21" r:id="rId34" display="Μήνυμα"/>
    <hyperlink ref="D22" r:id="rId35" display="Άνοιγμα"/>
    <hyperlink ref="E22" r:id="rId36" display="Μήνυμα"/>
    <hyperlink ref="D23" r:id="rId37" display="Άνοιγμα"/>
    <hyperlink ref="E23" r:id="rId38" display="Μήνυμα"/>
    <hyperlink ref="D24" r:id="rId39" display="Άνοιγμα"/>
    <hyperlink ref="E24" r:id="rId40" display="Μήνυμα"/>
    <hyperlink ref="D25" r:id="rId41" display="Άνοιγμα"/>
    <hyperlink ref="E25" r:id="rId42" display="Μήνυμα"/>
    <hyperlink ref="D26" r:id="rId43" display="Άνοιγμα"/>
    <hyperlink ref="E26" r:id="rId44" display="Μήνυμα"/>
    <hyperlink ref="D27" r:id="rId45" display="Άνοιγμα"/>
    <hyperlink ref="E27" r:id="rId46" display="Μήνυμα"/>
    <hyperlink ref="D28" r:id="rId47" display="Άνοιγμα"/>
    <hyperlink ref="E28" r:id="rId48" display="Μήνυμα"/>
    <hyperlink ref="D29" r:id="rId49" display="Άνοιγμα"/>
    <hyperlink ref="E29" r:id="rId50" display="Μήνυμα"/>
    <hyperlink ref="D30" r:id="rId51" display="Άνοιγμα"/>
    <hyperlink ref="E30" r:id="rId52" display="Μήνυμα"/>
    <hyperlink ref="D31" r:id="rId53" display="Άνοιγμα"/>
    <hyperlink ref="E31" r:id="rId54" display="Μήνυμα"/>
    <hyperlink ref="D32" r:id="rId55" display="Άνοιγμα"/>
    <hyperlink ref="E32" r:id="rId56" display="Μήνυμα"/>
    <hyperlink ref="D33" r:id="rId57" display="Άνοιγμα"/>
    <hyperlink ref="E33" r:id="rId58" display="Μήνυμα"/>
    <hyperlink ref="D34" r:id="rId59" display="Άνοιγμα"/>
    <hyperlink ref="E34" r:id="rId60" display="Μήνυμα"/>
    <hyperlink ref="D35" r:id="rId61" display="Άνοιγμα"/>
    <hyperlink ref="E35" r:id="rId62" display="Μήνυμα"/>
    <hyperlink ref="D36" r:id="rId63" display="Άνοιγμα"/>
    <hyperlink ref="E36" r:id="rId64" display="Μήνυμα"/>
    <hyperlink ref="D37" r:id="rId65" display="Άνοιγμα"/>
    <hyperlink ref="E37" r:id="rId66" display="Μήνυμα"/>
    <hyperlink ref="D38" r:id="rId67" display="Άνοιγμα"/>
    <hyperlink ref="E38" r:id="rId68" display="Μήνυμα"/>
    <hyperlink ref="D39" r:id="rId69" display="Άνοιγμα"/>
    <hyperlink ref="E39" r:id="rId70" display="Μήνυμα"/>
    <hyperlink ref="D40" r:id="rId71" display="Άνοιγμα"/>
    <hyperlink ref="E40" r:id="rId72" display="Μήνυμα"/>
    <hyperlink ref="D41" r:id="rId73" display="Άνοιγμα"/>
    <hyperlink ref="E41" r:id="rId74" display="Μήνυμα"/>
    <hyperlink ref="D42" r:id="rId75" display="Άνοιγμα"/>
    <hyperlink ref="E42" r:id="rId76" display="Μήνυμα"/>
    <hyperlink ref="D43" r:id="rId77" display="Άνοιγμα"/>
    <hyperlink ref="E43" r:id="rId78" display="Μήνυμα"/>
    <hyperlink ref="D44" r:id="rId79" display="Άνοιγμα"/>
    <hyperlink ref="E44" r:id="rId80" display="Μήνυμα"/>
    <hyperlink ref="D45" r:id="rId81" display="Άνοιγμα"/>
    <hyperlink ref="E45" r:id="rId82" display="Μήνυμα"/>
    <hyperlink ref="D46" r:id="rId83" display="Άνοιγμα"/>
    <hyperlink ref="E46" r:id="rId84" display="Μήνυμα"/>
    <hyperlink ref="D47" r:id="rId85" display="Άνοιγμα"/>
    <hyperlink ref="E47" r:id="rId86" display="Μήνυμα"/>
    <hyperlink ref="D48" r:id="rId87" display="Άνοιγμα"/>
    <hyperlink ref="E48" r:id="rId88" display="Μήνυμα"/>
    <hyperlink ref="D49" r:id="rId89" display="Άνοιγμα"/>
    <hyperlink ref="E49" r:id="rId90" display="Μήνυμα"/>
    <hyperlink ref="D50" r:id="rId91" display="Άνοιγμα"/>
    <hyperlink ref="E50" r:id="rId92" display="Μήνυμα"/>
    <hyperlink ref="D51" r:id="rId93" display="Άνοιγμα"/>
    <hyperlink ref="E51" r:id="rId94" display="Μήνυμα"/>
    <hyperlink ref="D52" r:id="rId95" display="Άνοιγμα"/>
    <hyperlink ref="E52" r:id="rId96" display="Μήνυμα"/>
    <hyperlink ref="D53" r:id="rId97" display="Άνοιγμα"/>
    <hyperlink ref="E53" r:id="rId98" display="Μήνυμα"/>
    <hyperlink ref="D54" r:id="rId99" display="Άνοιγμα"/>
    <hyperlink ref="E54" r:id="rId100" display="Μήνυμα"/>
    <hyperlink ref="D55" r:id="rId101" display="Άνοιγμα"/>
    <hyperlink ref="E55" r:id="rId102" display="Μήνυμα"/>
    <hyperlink ref="D56" r:id="rId103" display="Άνοιγμα"/>
    <hyperlink ref="E56" r:id="rId104" display="Μήνυμα"/>
    <hyperlink ref="D57" r:id="rId105" display="Άνοιγμα"/>
    <hyperlink ref="E57" r:id="rId106" display="Μήνυμα"/>
    <hyperlink ref="D58" r:id="rId107" display="Άνοιγμα"/>
    <hyperlink ref="E58" r:id="rId108" display="Μήνυμα"/>
    <hyperlink ref="D59" r:id="rId109" display="Άνοιγμα"/>
    <hyperlink ref="E59" r:id="rId110" display="Μήνυμα"/>
    <hyperlink ref="D60" r:id="rId111" display="Άνοιγμα"/>
    <hyperlink ref="E60" r:id="rId112" display="Μήνυμα"/>
    <hyperlink ref="D61" r:id="rId113" display="Άνοιγμα"/>
    <hyperlink ref="E61" r:id="rId114" display="Μήνυμα"/>
    <hyperlink ref="D62" r:id="rId115" display="Άνοιγμα"/>
    <hyperlink ref="E62" r:id="rId116" display="Μήνυμα"/>
    <hyperlink ref="D63" r:id="rId117" display="Άνοιγμα"/>
    <hyperlink ref="E63" r:id="rId118" display="Μήνυμα"/>
    <hyperlink ref="D64" r:id="rId119" display="Άνοιγμα"/>
    <hyperlink ref="E64" r:id="rId120" display="Μήνυμα"/>
    <hyperlink ref="D65" r:id="rId121" display="Άνοιγμα"/>
    <hyperlink ref="E65" r:id="rId122" display="Μήνυμα"/>
    <hyperlink ref="D66" r:id="rId123" display="Άνοιγμα"/>
    <hyperlink ref="E66" r:id="rId124" display="Μήνυμα"/>
    <hyperlink ref="D67" r:id="rId125" display="Άνοιγμα"/>
    <hyperlink ref="E67" r:id="rId126" display="Μήνυμα"/>
    <hyperlink ref="D68" r:id="rId127" display="Άνοιγμα"/>
    <hyperlink ref="E68" r:id="rId128" display="Μήνυμα"/>
    <hyperlink ref="D69" r:id="rId129" display="Άνοιγμα"/>
    <hyperlink ref="E69" r:id="rId130" display="Μήνυμα"/>
    <hyperlink ref="D70" r:id="rId131" display="Άνοιγμα"/>
    <hyperlink ref="E70" r:id="rId132" display="Μήνυμα"/>
    <hyperlink ref="D71" r:id="rId133" display="Άνοιγμα"/>
    <hyperlink ref="E71" r:id="rId134" display="Μήνυμα"/>
    <hyperlink ref="D72" r:id="rId135" display="Άνοιγμα"/>
    <hyperlink ref="E72" r:id="rId136" display="Μήνυμα"/>
    <hyperlink ref="D73" r:id="rId137" display="Άνοιγμα"/>
    <hyperlink ref="E73" r:id="rId138" display="Μήνυμα"/>
    <hyperlink ref="D74" r:id="rId139" display="Άνοιγμα"/>
    <hyperlink ref="E74" r:id="rId140" display="Μήνυμα"/>
    <hyperlink ref="D75" r:id="rId141" display="Άνοιγμα"/>
    <hyperlink ref="E75" r:id="rId142" display="Μήνυμα"/>
    <hyperlink ref="D76" r:id="rId143" display="Άνοιγμα"/>
    <hyperlink ref="E76" r:id="rId144" display="Μήνυμα"/>
    <hyperlink ref="D77" r:id="rId145" display="Άνοιγμα"/>
    <hyperlink ref="E77" r:id="rId146" display="Μήνυμα"/>
    <hyperlink ref="D78" r:id="rId147" display="Άνοιγμα"/>
    <hyperlink ref="E78" r:id="rId148" display="Μήνυμα"/>
    <hyperlink ref="D79" r:id="rId149" display="Άνοιγμα"/>
    <hyperlink ref="E79" r:id="rId150" display="Μήνυμα"/>
    <hyperlink ref="D80" r:id="rId151" display="Άνοιγμα"/>
    <hyperlink ref="E80" r:id="rId152" display="Μήνυμα"/>
    <hyperlink ref="D81" r:id="rId153" display="Άνοιγμα"/>
    <hyperlink ref="E81" r:id="rId154" display="Μήνυμα"/>
    <hyperlink ref="D82" r:id="rId155" display="Άνοιγμα"/>
    <hyperlink ref="E82" r:id="rId156" display="Μήνυμα"/>
    <hyperlink ref="D83" r:id="rId157" display="Άνοιγμα"/>
    <hyperlink ref="E83" r:id="rId158" display="Μήνυμα"/>
    <hyperlink ref="D84" r:id="rId159" display="Άνοιγμα"/>
    <hyperlink ref="E84" r:id="rId160" display="Μήνυμα"/>
    <hyperlink ref="D85" r:id="rId161" display="Άνοιγμα"/>
    <hyperlink ref="E85" r:id="rId162" display="Μήνυμα"/>
    <hyperlink ref="D86" r:id="rId163" display="Άνοιγμα"/>
    <hyperlink ref="E86" r:id="rId164" display="Μήνυμα"/>
    <hyperlink ref="D87" r:id="rId165" display="Άνοιγμα"/>
    <hyperlink ref="E87" r:id="rId166" display="Μήνυμα"/>
    <hyperlink ref="D88" r:id="rId167" display="Άνοιγμα"/>
    <hyperlink ref="E88" r:id="rId168" display="Μήνυμα"/>
    <hyperlink ref="D89" r:id="rId169" display="Άνοιγμα"/>
    <hyperlink ref="E89" r:id="rId170" display="Μήνυμα"/>
    <hyperlink ref="D90" r:id="rId171" display="Άνοιγμα"/>
    <hyperlink ref="E90" r:id="rId172" display="Μήνυμα"/>
    <hyperlink ref="D91" r:id="rId173" display="Άνοιγμα"/>
    <hyperlink ref="E91" r:id="rId174" display="Μήνυμα"/>
    <hyperlink ref="D92" r:id="rId175" display="Άνοιγμα"/>
    <hyperlink ref="E92" r:id="rId176" display="Μήνυμα"/>
    <hyperlink ref="D93" r:id="rId177" display="Άνοιγμα"/>
    <hyperlink ref="E93" r:id="rId178" display="Μήνυμα"/>
    <hyperlink ref="D94" r:id="rId179" display="Άνοιγμα"/>
    <hyperlink ref="E94" r:id="rId180" display="Μήνυμα"/>
    <hyperlink ref="D95" r:id="rId181" display="Άνοιγμα"/>
    <hyperlink ref="E95" r:id="rId182" display="Μήνυμα"/>
    <hyperlink ref="D96" r:id="rId183" display="Άνοιγμα"/>
    <hyperlink ref="E96" r:id="rId184" display="Μήνυμα"/>
    <hyperlink ref="D97" r:id="rId185" display="Άνοιγμα"/>
    <hyperlink ref="E97" r:id="rId186" display="Μήνυμα"/>
    <hyperlink ref="D98" r:id="rId187" display="Άνοιγμα"/>
    <hyperlink ref="E98" r:id="rId188" display="Μήνυμα"/>
    <hyperlink ref="D99" r:id="rId189" display="Άνοιγμα"/>
    <hyperlink ref="E99" r:id="rId190" display="Μήνυμα"/>
    <hyperlink ref="D100" r:id="rId191" display="Άνοιγμα"/>
    <hyperlink ref="E100" r:id="rId192" display="Μήνυμα"/>
    <hyperlink ref="D101" r:id="rId193" display="Άνοιγμα"/>
    <hyperlink ref="E101" r:id="rId194" display="Μήνυμα"/>
    <hyperlink ref="D102" r:id="rId195" display="Άνοιγμα"/>
    <hyperlink ref="E102" r:id="rId196" display="Μήνυμα"/>
    <hyperlink ref="D103" r:id="rId197" display="Άνοιγμα"/>
    <hyperlink ref="E103" r:id="rId198" display="Μήνυμα"/>
    <hyperlink ref="D104" r:id="rId199" display="Άνοιγμα"/>
    <hyperlink ref="E104" r:id="rId200" display="Μήνυμα"/>
    <hyperlink ref="D105" r:id="rId201" display="Άνοιγμα"/>
    <hyperlink ref="E105" r:id="rId202" display="Μήνυμα"/>
    <hyperlink ref="D106" r:id="rId203" display="Άνοιγμα"/>
    <hyperlink ref="E106" r:id="rId204" display="Μήνυμα"/>
    <hyperlink ref="D107" r:id="rId205" display="Άνοιγμα"/>
    <hyperlink ref="E107" r:id="rId206" display="Μήνυμα"/>
    <hyperlink ref="D108" r:id="rId207" display="Άνοιγμα"/>
    <hyperlink ref="E108" r:id="rId208" display="Μήνυμα"/>
    <hyperlink ref="D109" r:id="rId209" display="Άνοιγμα"/>
    <hyperlink ref="E109" r:id="rId210" display="Μήνυμα"/>
    <hyperlink ref="D110" r:id="rId211" display="Άνοιγμα"/>
    <hyperlink ref="E110" r:id="rId212" display="Μήνυμα"/>
    <hyperlink ref="D111" r:id="rId213" display="Άνοιγμα"/>
    <hyperlink ref="E111" r:id="rId214" display="Μήνυμα"/>
    <hyperlink ref="D112" r:id="rId215" display="Άνοιγμα"/>
    <hyperlink ref="E112" r:id="rId216" display="Μήνυμα"/>
    <hyperlink ref="D113" r:id="rId217" display="Άνοιγμα"/>
    <hyperlink ref="E113" r:id="rId218" display="Μήνυμα"/>
    <hyperlink ref="D114" r:id="rId219" display="Άνοιγμα"/>
    <hyperlink ref="E114" r:id="rId220" display="Μήνυμα"/>
    <hyperlink ref="D115" r:id="rId221" display="Άνοιγμα"/>
    <hyperlink ref="E115" r:id="rId222" display="Μήνυμα"/>
    <hyperlink ref="D116" r:id="rId223" display="Άνοιγμα"/>
    <hyperlink ref="E116" r:id="rId224" display="Μήνυμα"/>
    <hyperlink ref="D117" r:id="rId225" display="Άνοιγμα"/>
    <hyperlink ref="E117" r:id="rId226" display="Μήνυμα"/>
    <hyperlink ref="D118" r:id="rId227" display="Άνοιγμα"/>
    <hyperlink ref="E118" r:id="rId228" display="Μήνυμα"/>
    <hyperlink ref="D119" r:id="rId229" display="Άνοιγμα"/>
    <hyperlink ref="E119" r:id="rId230" display="Μήνυμα"/>
    <hyperlink ref="D120" r:id="rId231" display="Άνοιγμα"/>
    <hyperlink ref="E120" r:id="rId232" display="Μήνυμα"/>
    <hyperlink ref="D121" r:id="rId233" display="Άνοιγμα"/>
    <hyperlink ref="E121" r:id="rId234" display="Μήνυμα"/>
    <hyperlink ref="D122" r:id="rId235" display="Άνοιγμα"/>
    <hyperlink ref="E122" r:id="rId236" display="Μήνυμα"/>
    <hyperlink ref="D123" r:id="rId237" display="Άνοιγμα"/>
    <hyperlink ref="E123" r:id="rId238" display="Μήνυμα"/>
    <hyperlink ref="D124" r:id="rId239" display="Άνοιγμα"/>
    <hyperlink ref="E124" r:id="rId240" display="Μήνυμα"/>
    <hyperlink ref="D125" r:id="rId241" display="Άνοιγμα"/>
    <hyperlink ref="E125" r:id="rId242" display="Μήνυμα"/>
    <hyperlink ref="D126" r:id="rId243" display="Άνοιγμα"/>
    <hyperlink ref="E126" r:id="rId244" display="Μήνυμα"/>
    <hyperlink ref="D127" r:id="rId245" display="Άνοιγμα"/>
    <hyperlink ref="E127" r:id="rId246" display="Μήνυμα"/>
    <hyperlink ref="D128" r:id="rId247" display="Άνοιγμα"/>
    <hyperlink ref="E128" r:id="rId248" display="Μήνυμα"/>
    <hyperlink ref="D129" r:id="rId249" display="Άνοιγμα"/>
    <hyperlink ref="E129" r:id="rId250" display="Μήνυμα"/>
    <hyperlink ref="D130" r:id="rId251" display="Άνοιγμα"/>
    <hyperlink ref="E130" r:id="rId252" display="Μήνυμα"/>
    <hyperlink ref="D131" r:id="rId253" display="Άνοιγμα"/>
    <hyperlink ref="E131" r:id="rId254" display="Μήνυμα"/>
    <hyperlink ref="D132" r:id="rId255" display="Άνοιγμα"/>
    <hyperlink ref="E132" r:id="rId256" display="Μήνυμα"/>
    <hyperlink ref="D133" r:id="rId257" display="Άνοιγμα"/>
    <hyperlink ref="E133" r:id="rId258" display="Μήνυμα"/>
    <hyperlink ref="D134" r:id="rId259" display="Άνοιγμα"/>
    <hyperlink ref="E134" r:id="rId260" display="Μήνυμα"/>
    <hyperlink ref="D135" r:id="rId261" display="Άνοιγμα"/>
    <hyperlink ref="E135" r:id="rId262" display="Μήνυμα"/>
    <hyperlink ref="D136" r:id="rId263" display="Άνοιγμα"/>
    <hyperlink ref="E136" r:id="rId264" display="Μήνυμα"/>
    <hyperlink ref="D137" r:id="rId265" display="Άνοιγμα"/>
    <hyperlink ref="E137" r:id="rId266" display="Μήνυμα"/>
    <hyperlink ref="D138" r:id="rId267" display="Άνοιγμα"/>
    <hyperlink ref="E138" r:id="rId268" display="Μήνυμα"/>
    <hyperlink ref="D139" r:id="rId269" display="Άνοιγμα"/>
    <hyperlink ref="E139" r:id="rId270" display="Μήνυμα"/>
    <hyperlink ref="D140" r:id="rId271" display="Άνοιγμα"/>
    <hyperlink ref="E140" r:id="rId272" display="Μήνυμα"/>
    <hyperlink ref="D141" r:id="rId273" display="Άνοιγμα"/>
    <hyperlink ref="E141" r:id="rId274" display="Μήνυμα"/>
    <hyperlink ref="D142" r:id="rId275" display="Άνοιγμα"/>
    <hyperlink ref="E142" r:id="rId276" display="Μήνυμα"/>
    <hyperlink ref="D143" r:id="rId277" display="Άνοιγμα"/>
    <hyperlink ref="E143" r:id="rId278" display="Μήνυμα"/>
    <hyperlink ref="D144" r:id="rId279" display="Άνοιγμα"/>
    <hyperlink ref="E144" r:id="rId280" display="Μήνυμα"/>
    <hyperlink ref="D145" r:id="rId281" display="Άνοιγμα"/>
    <hyperlink ref="E145" r:id="rId282" display="Μήνυμα"/>
    <hyperlink ref="D146" r:id="rId283" display="Άνοιγμα"/>
    <hyperlink ref="E146" r:id="rId284" display="Μήνυμα"/>
    <hyperlink ref="D147" r:id="rId285" display="Άνοιγμα"/>
    <hyperlink ref="E147" r:id="rId286" display="Μήνυμα"/>
    <hyperlink ref="D148" r:id="rId287" display="Άνοιγμα"/>
    <hyperlink ref="E148" r:id="rId288" display="Μήνυμα"/>
    <hyperlink ref="D149" r:id="rId289" display="Άνοιγμα"/>
    <hyperlink ref="E149" r:id="rId290" display="Μήνυμα"/>
    <hyperlink ref="D150" r:id="rId291" display="Άνοιγμα"/>
    <hyperlink ref="E150" r:id="rId292" display="Μήνυμα"/>
    <hyperlink ref="D151" r:id="rId293" display="Άνοιγμα"/>
    <hyperlink ref="E151" r:id="rId294" display="Μήνυμα"/>
    <hyperlink ref="D152" r:id="rId295" display="Άνοιγμα"/>
    <hyperlink ref="E152" r:id="rId296" display="Μήνυμα"/>
    <hyperlink ref="D153" r:id="rId297" display="Άνοιγμα"/>
    <hyperlink ref="E153" r:id="rId298" display="Μήνυμα"/>
    <hyperlink ref="D154" r:id="rId299" display="Άνοιγμα"/>
    <hyperlink ref="E154" r:id="rId300" display="Μήνυμα"/>
    <hyperlink ref="D155" r:id="rId301" display="Άνοιγμα"/>
    <hyperlink ref="E155" r:id="rId302" display="Μήνυμα"/>
    <hyperlink ref="D156" r:id="rId303" display="Άνοιγμα"/>
    <hyperlink ref="E156" r:id="rId304" display="Μήνυμα"/>
    <hyperlink ref="D157" r:id="rId305" display="Άνοιγμα"/>
    <hyperlink ref="E157" r:id="rId306" display="Μήνυμα"/>
    <hyperlink ref="D158" r:id="rId307" display="Άνοιγμα"/>
    <hyperlink ref="E158" r:id="rId308" display="Μήνυμα"/>
    <hyperlink ref="D159" r:id="rId309" display="Άνοιγμα"/>
    <hyperlink ref="E159" r:id="rId310" display="Μήνυμα"/>
    <hyperlink ref="D160" r:id="rId311" display="Άνοιγμα"/>
    <hyperlink ref="E160" r:id="rId312" display="Μήνυμα"/>
    <hyperlink ref="D161" r:id="rId313" display="Άνοιγμα"/>
    <hyperlink ref="E161" r:id="rId314" display="Μήνυμα"/>
    <hyperlink ref="D162" r:id="rId315" display="Άνοιγμα"/>
    <hyperlink ref="E162" r:id="rId316" display="Μήνυμα"/>
    <hyperlink ref="D163" r:id="rId317" display="Άνοιγμα"/>
    <hyperlink ref="E163" r:id="rId318" display="Μήνυμα"/>
    <hyperlink ref="D164" r:id="rId319" display="Άνοιγμα"/>
    <hyperlink ref="E164" r:id="rId320" display="Μήνυμα"/>
    <hyperlink ref="D165" r:id="rId321" display="Άνοιγμα"/>
    <hyperlink ref="E165" r:id="rId322" display="Μήνυμα"/>
    <hyperlink ref="D166" r:id="rId323" display="Άνοιγμα"/>
    <hyperlink ref="E166" r:id="rId324" display="Μήνυμα"/>
    <hyperlink ref="D167" r:id="rId325" display="Άνοιγμα"/>
    <hyperlink ref="E167" r:id="rId326" display="Μήνυμα"/>
    <hyperlink ref="D168" r:id="rId327" display="Άνοιγμα"/>
    <hyperlink ref="E168" r:id="rId328" display="Μήνυμα"/>
    <hyperlink ref="D169" r:id="rId329" display="Άνοιγμα"/>
    <hyperlink ref="E169" r:id="rId330" display="Μήνυμα"/>
    <hyperlink ref="D170" r:id="rId331" display="Άνοιγμα"/>
    <hyperlink ref="E170" r:id="rId332" display="Μήνυμα"/>
    <hyperlink ref="D171" r:id="rId333" display="Άνοιγμα"/>
    <hyperlink ref="E171" r:id="rId334" display="Μήνυμα"/>
    <hyperlink ref="D172" r:id="rId335" display="Άνοιγμα"/>
    <hyperlink ref="E172" r:id="rId336" display="Μήνυμα"/>
    <hyperlink ref="D173" r:id="rId337" display="Άνοιγμα"/>
    <hyperlink ref="E173" r:id="rId338" display="Μήνυμα"/>
    <hyperlink ref="D174" r:id="rId339" display="Άνοιγμα"/>
    <hyperlink ref="E174" r:id="rId340" display="Μήνυμα"/>
    <hyperlink ref="D175" r:id="rId341" display="Άνοιγμα"/>
    <hyperlink ref="E175" r:id="rId342" display="Μήνυμα"/>
    <hyperlink ref="D176" r:id="rId343" display="Άνοιγμα"/>
    <hyperlink ref="E176" r:id="rId344" display="Μήνυμα"/>
    <hyperlink ref="D177" r:id="rId345" display="Άνοιγμα"/>
    <hyperlink ref="E177" r:id="rId346" display="Μήνυμα"/>
    <hyperlink ref="D178" r:id="rId347" display="Άνοιγμα"/>
    <hyperlink ref="E178" r:id="rId348" display="Μήνυμα"/>
    <hyperlink ref="D179" r:id="rId349" display="Άνοιγμα"/>
    <hyperlink ref="E179" r:id="rId350" display="Μήνυμα"/>
    <hyperlink ref="D180" r:id="rId351" display="Άνοιγμα"/>
    <hyperlink ref="E180" r:id="rId352" display="Μήνυμα"/>
    <hyperlink ref="D181" r:id="rId353" display="Άνοιγμα"/>
    <hyperlink ref="E181" r:id="rId354" display="Μήνυμα"/>
    <hyperlink ref="D182" r:id="rId355" display="Άνοιγμα"/>
    <hyperlink ref="E182" r:id="rId356" display="Μήνυμα"/>
    <hyperlink ref="D183" r:id="rId357" display="Άνοιγμα"/>
    <hyperlink ref="E183" r:id="rId358" display="Μήνυμα"/>
    <hyperlink ref="D184" r:id="rId359" display="Άνοιγμα"/>
    <hyperlink ref="E184" r:id="rId360" display="Μήνυμα"/>
    <hyperlink ref="D185" r:id="rId361" display="Άνοιγμα"/>
    <hyperlink ref="E185" r:id="rId362" display="Μήνυμα"/>
    <hyperlink ref="D186" r:id="rId363" display="Άνοιγμα"/>
    <hyperlink ref="E186" r:id="rId364" display="Μήνυμα"/>
    <hyperlink ref="D187" r:id="rId365" display="Άνοιγμα"/>
    <hyperlink ref="E187" r:id="rId366" display="Μήνυμα"/>
    <hyperlink ref="D188" r:id="rId367" display="Άνοιγμα"/>
    <hyperlink ref="E188" r:id="rId368" display="Μήνυμα"/>
    <hyperlink ref="D189" r:id="rId369" display="Άνοιγμα"/>
    <hyperlink ref="E189" r:id="rId370" display="Μήνυμα"/>
    <hyperlink ref="D190" r:id="rId371" display="Άνοιγμα"/>
    <hyperlink ref="E190" r:id="rId372" display="Μήνυμα"/>
    <hyperlink ref="D191" r:id="rId373" display="Άνοιγμα"/>
    <hyperlink ref="E191" r:id="rId374" display="Μήνυμα"/>
    <hyperlink ref="D192" r:id="rId375" display="Άνοιγμα"/>
    <hyperlink ref="E192" r:id="rId376" display="Μήνυμα"/>
    <hyperlink ref="D193" r:id="rId377" display="Άνοιγμα"/>
    <hyperlink ref="E193" r:id="rId378" display="Μήνυμα"/>
    <hyperlink ref="D194" r:id="rId379" display="Άνοιγμα"/>
    <hyperlink ref="E194" r:id="rId380" display="Μήνυμα"/>
    <hyperlink ref="D195" r:id="rId381" display="Άνοιγμα"/>
    <hyperlink ref="E195" r:id="rId382" display="Μήνυμα"/>
    <hyperlink ref="D196" r:id="rId383" display="Άνοιγμα"/>
    <hyperlink ref="E196" r:id="rId384" display="Μήνυμα"/>
    <hyperlink ref="D197" r:id="rId385" display="Άνοιγμα"/>
    <hyperlink ref="E197" r:id="rId386" display="Μήνυμα"/>
    <hyperlink ref="D198" r:id="rId387" display="Άνοιγμα"/>
    <hyperlink ref="E198" r:id="rId388" display="Μήνυμα"/>
    <hyperlink ref="D199" r:id="rId389" display="Άνοιγμα"/>
    <hyperlink ref="E199" r:id="rId390" display="Μήνυμα"/>
    <hyperlink ref="D200" r:id="rId391" display="Άνοιγμα"/>
    <hyperlink ref="E200" r:id="rId392" display="Μήνυμα"/>
    <hyperlink ref="D201" r:id="rId393" display="Άνοιγμα"/>
    <hyperlink ref="E201" r:id="rId394" display="Μήνυμα"/>
    <hyperlink ref="D202" r:id="rId395" display="Άνοιγμα"/>
    <hyperlink ref="E202" r:id="rId396" display="Μήνυμα"/>
    <hyperlink ref="D203" r:id="rId397" display="Άνοιγμα"/>
    <hyperlink ref="E203" r:id="rId398" display="Μήνυμα"/>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9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7.35" hidden="false" customHeight="false" outlineLevel="0" collapsed="false">
      <c r="A1" s="1" t="s">
        <v>823</v>
      </c>
    </row>
    <row r="2" customFormat="false" ht="15" hidden="false" customHeight="false" outlineLevel="0" collapsed="false">
      <c r="A2" s="20" t="s">
        <v>824</v>
      </c>
      <c r="B2" s="20"/>
    </row>
    <row r="4" customFormat="false" ht="15" hidden="false" customHeight="false" outlineLevel="0" collapsed="false">
      <c r="A4" s="21" t="s">
        <v>825</v>
      </c>
      <c r="B4" s="22" t="s">
        <v>826</v>
      </c>
    </row>
    <row r="5" customFormat="false" ht="15" hidden="false" customHeight="false" outlineLevel="0" collapsed="false">
      <c r="A5" s="21"/>
      <c r="B5" s="23"/>
    </row>
    <row r="6" customFormat="false" ht="15" hidden="false" customHeight="false" outlineLevel="0" collapsed="false">
      <c r="A6" s="24" t="s">
        <v>827</v>
      </c>
      <c r="B6" s="24" t="s">
        <v>828</v>
      </c>
    </row>
    <row r="7" customFormat="false" ht="229.5" hidden="false" customHeight="true" outlineLevel="0" collapsed="false">
      <c r="A7" s="21" t="s">
        <v>829</v>
      </c>
      <c r="B7" s="22" t="s">
        <v>830</v>
      </c>
    </row>
    <row r="8" customFormat="false" ht="229.5" hidden="false" customHeight="true" outlineLevel="0" collapsed="false">
      <c r="A8" s="21" t="s">
        <v>831</v>
      </c>
      <c r="B8" s="22" t="s">
        <v>832</v>
      </c>
    </row>
    <row r="9" customFormat="false" ht="75" hidden="false" customHeight="true" outlineLevel="0" collapsed="false">
      <c r="A9" s="21" t="s">
        <v>833</v>
      </c>
      <c r="B9" s="22" t="s">
        <v>834</v>
      </c>
    </row>
    <row r="10" customFormat="false" ht="75" hidden="false" customHeight="true" outlineLevel="0" collapsed="false">
      <c r="A10" s="21" t="s">
        <v>835</v>
      </c>
      <c r="B10" s="22" t="s">
        <v>836</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2026-10-08T11:04:35Z</dcterms:created>
  <dc:creator>openpyxl</dc:creator>
  <dc:description/>
  <dc:language>en-US</dc:language>
  <cp:lastModifiedBy/>
  <dcterms:modified xsi:type="dcterms:W3CDTF">2026-10-08T11:04:35Z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